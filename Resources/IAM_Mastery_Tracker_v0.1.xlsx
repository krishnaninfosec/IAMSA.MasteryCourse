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rogress Tracker" sheetId="2" state="visible" r:id="rId4"/>
    <sheet name="Product Landscape" sheetId="3" state="visible" r:id="rId5"/>
    <sheet name="Estimation Cheat-She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<sst xmlns="http://schemas.openxmlformats.org/spreadsheetml/2006/main" count="540" uniqueCount="320">
  <si>
    <t xml:space="preserve">IAM Solution Architect Mastery Program</t>
  </si>
  <si>
    <t xml:space="preserve">Learning Tracker &amp; Reference Workbook</t>
  </si>
  <si>
    <t xml:space="preserve">How to use this workbook</t>
  </si>
  <si>
    <t xml:space="preserve">Progress Tracker</t>
  </si>
  <si>
    <t xml:space="preserve">Your live checklist. Update the Status of each sub-topic as you go. The KPIs at the top recalculate automatically (percent complete, planned vs actual hours).</t>
  </si>
  <si>
    <t xml:space="preserve">Product Landscape</t>
  </si>
  <si>
    <t xml:space="preserve">Quick-reference of leading products by tower. Use it to get vendor names right in front of clients. We will deepen each tower as we reach it.</t>
  </si>
  <si>
    <t xml:space="preserve">Estimation Cheat-Sheet</t>
  </si>
  <si>
    <t xml:space="preserve">The reusable building blocks: estimation approaches, effort drivers, phase model and staffing bands. Lean on this when sizing an RFP.</t>
  </si>
  <si>
    <t xml:space="preserve">Working rhythm</t>
  </si>
  <si>
    <t xml:space="preserve">Three short weekday sessions plus one weekend consolidation block. Mark a topic 'Done' only after the reflection prompt makes sense to you.</t>
  </si>
  <si>
    <t xml:space="preserve">Status values</t>
  </si>
  <si>
    <t xml:space="preserve">Use: Not started / In progress / Done (dropdown provided).</t>
  </si>
  <si>
    <t xml:space="preserve">Companion document</t>
  </si>
  <si>
    <t xml:space="preserve">Pairs with 'IAM_Mastery_Curriculum.docx' — the full teaching + reference guide.</t>
  </si>
  <si>
    <t xml:space="preserve">Total sub-topics</t>
  </si>
  <si>
    <t xml:space="preserve">Planned hours</t>
  </si>
  <si>
    <t xml:space="preserve">Completed</t>
  </si>
  <si>
    <t xml:space="preserve">Actual hours logged</t>
  </si>
  <si>
    <t xml:space="preserve">Percent complete</t>
  </si>
  <si>
    <t xml:space="preserve">Hours remaining (planned)</t>
  </si>
  <si>
    <t xml:space="preserve">Module</t>
  </si>
  <si>
    <t xml:space="preserve">Sub-topic</t>
  </si>
  <si>
    <t xml:space="preserve">Status</t>
  </si>
  <si>
    <t xml:space="preserve">Planned hrs</t>
  </si>
  <si>
    <t xml:space="preserve">Actual hrs</t>
  </si>
  <si>
    <t xml:space="preserve">Notes</t>
  </si>
  <si>
    <t xml:space="preserve">M0 Foundations</t>
  </si>
  <si>
    <t xml:space="preserve">AAA model; authentication vs authorization</t>
  </si>
  <si>
    <t xml:space="preserve">Not started</t>
  </si>
  <si>
    <t xml:space="preserve">Identity lifecycle: Joiner-Mover-Leaver</t>
  </si>
  <si>
    <t xml:space="preserve">The six towers and how they interconnect</t>
  </si>
  <si>
    <t xml:space="preserve">Standards: SAML, OIDC, OAuth, SCIM, LDAP, FIDO2, X.509</t>
  </si>
  <si>
    <t xml:space="preserve">NIST 800-63 assurance levels (IAL/AAL/FAL)</t>
  </si>
  <si>
    <t xml:space="preserve">Capability towers vs delivery functions (the matrix)</t>
  </si>
  <si>
    <t xml:space="preserve">M1 Directory Services</t>
  </si>
  <si>
    <t xml:space="preserve">Directory concepts and data model</t>
  </si>
  <si>
    <t xml:space="preserve">Active Directory vs Microsoft Entra ID</t>
  </si>
  <si>
    <t xml:space="preserve">Sync, consolidation and virtual directory</t>
  </si>
  <si>
    <t xml:space="preserve">SI &amp; Transform: lifecycle and effort drivers</t>
  </si>
  <si>
    <t xml:space="preserve">Run / BAU, automation &amp; licensing</t>
  </si>
  <si>
    <t xml:space="preserve">Worked estimation example</t>
  </si>
  <si>
    <t xml:space="preserve">M2 Access Management</t>
  </si>
  <si>
    <t xml:space="preserve">SSO concepts and session model</t>
  </si>
  <si>
    <t xml:space="preserve">Federation: SAML and OIDC/OAuth flows</t>
  </si>
  <si>
    <t xml:space="preserve">MFA and passwordless (FIDO2/passkeys)</t>
  </si>
  <si>
    <t xml:space="preserve">Conditional / risk-based access</t>
  </si>
  <si>
    <t xml:space="preserve">Application onboarding patterns</t>
  </si>
  <si>
    <t xml:space="preserve">SI lifecycle, Run, automation &amp; licensing</t>
  </si>
  <si>
    <t xml:space="preserve">M3 IGA</t>
  </si>
  <si>
    <t xml:space="preserve">JML and automated provisioning</t>
  </si>
  <si>
    <t xml:space="preserve">Access request and approval workflows</t>
  </si>
  <si>
    <t xml:space="preserve">Role modelling: RBAC and ABAC</t>
  </si>
  <si>
    <t xml:space="preserve">Segregation of Duties (SoD)</t>
  </si>
  <si>
    <t xml:space="preserve">Access certifications / recertification</t>
  </si>
  <si>
    <t xml:space="preserve">Connectors and application onboarding</t>
  </si>
  <si>
    <t xml:space="preserve">SI lifecycle and effort drivers</t>
  </si>
  <si>
    <t xml:space="preserve">Run / BAU, automation &amp; AI, licensing</t>
  </si>
  <si>
    <t xml:space="preserve">M4 PAM</t>
  </si>
  <si>
    <t xml:space="preserve">Credential vaulting and management</t>
  </si>
  <si>
    <t xml:space="preserve">Session management and recording</t>
  </si>
  <si>
    <t xml:space="preserve">Just-in-time access and Zero Standing Privilege</t>
  </si>
  <si>
    <t xml:space="preserve">Secrets and workload / machine identity</t>
  </si>
  <si>
    <t xml:space="preserve">Account discovery and onboarding</t>
  </si>
  <si>
    <t xml:space="preserve">M4B EPM</t>
  </si>
  <si>
    <t xml:space="preserve">EPM concepts: local-admin removal, app control, elevation</t>
  </si>
  <si>
    <t xml:space="preserve">EPM vs PAM — the privileged-access family</t>
  </si>
  <si>
    <t xml:space="preserve">Policy model, personas and elevation types</t>
  </si>
  <si>
    <t xml:space="preserve">Monitor-to-enforce rollout approach</t>
  </si>
  <si>
    <t xml:space="preserve">M5 PKI/CLM</t>
  </si>
  <si>
    <t xml:space="preserve">PKI concepts and CA hierarchy</t>
  </si>
  <si>
    <t xml:space="preserve">Certificate lifecycle (issue/renew/revoke)</t>
  </si>
  <si>
    <t xml:space="preserve">Discovery and automation</t>
  </si>
  <si>
    <t xml:space="preserve">Lifetime reduction and post-quantum readiness</t>
  </si>
  <si>
    <t xml:space="preserve">SI lifecycle, Run, licensing</t>
  </si>
  <si>
    <t xml:space="preserve">M6 Identity Proofing</t>
  </si>
  <si>
    <t xml:space="preserve">Proofing concepts and assurance levels (IAL)</t>
  </si>
  <si>
    <t xml:space="preserve">Document, biometric and liveness checks</t>
  </si>
  <si>
    <t xml:space="preserve">Deepfake and injection-attack controls</t>
  </si>
  <si>
    <t xml:space="preserve">Verifiable credentials and wallets</t>
  </si>
  <si>
    <t xml:space="preserve">SI lifecycle, Run, licensing &amp; estimation</t>
  </si>
  <si>
    <t xml:space="preserve">M7 CIAM</t>
  </si>
  <si>
    <t xml:space="preserve">CIAM vs workforce IAM: what changes</t>
  </si>
  <si>
    <t xml:space="preserve">Registration, social login, progressive profiling</t>
  </si>
  <si>
    <t xml:space="preserve">Consent, privacy and preference management</t>
  </si>
  <si>
    <t xml:space="preserve">Scale, performance and bot/fraud defence</t>
  </si>
  <si>
    <t xml:space="preserve">SI lifecycle, Run, MAU licensing &amp; worked estimate</t>
  </si>
  <si>
    <t xml:space="preserve">M8 ISPM &amp; ITDR</t>
  </si>
  <si>
    <t xml:space="preserve">ISPM concepts: what posture is assessed</t>
  </si>
  <si>
    <t xml:space="preserve">ISPM vs ITDR vs CIEM — how they differ</t>
  </si>
  <si>
    <t xml:space="preserve">Posture across towers: misconfig, stale, shadow admin, NHI</t>
  </si>
  <si>
    <t xml:space="preserve">Integration with SIEM/SOC and remediation</t>
  </si>
  <si>
    <t xml:space="preserve">Delivery, Run, licensing &amp; estimation</t>
  </si>
  <si>
    <t xml:space="preserve">M9 Estimation &amp; Staffing</t>
  </si>
  <si>
    <t xml:space="preserve">Estimation approaches and when to use each</t>
  </si>
  <si>
    <t xml:space="preserve">Effort drivers per tower</t>
  </si>
  <si>
    <t xml:space="preserve">Building a work-breakdown structure</t>
  </si>
  <si>
    <t xml:space="preserve">Staffing pyramid and role-wise view</t>
  </si>
  <si>
    <t xml:space="preserve">Justifying and defending an estimate</t>
  </si>
  <si>
    <t xml:space="preserve">Cross-tower programme estimate</t>
  </si>
  <si>
    <t xml:space="preserve">M10 Run Operating Model</t>
  </si>
  <si>
    <t xml:space="preserve">L1 / L2 / L3 tier design</t>
  </si>
  <si>
    <t xml:space="preserve">BAU activity catalogue</t>
  </si>
  <si>
    <t xml:space="preserve">SLA tiers and shift / location models</t>
  </si>
  <si>
    <t xml:space="preserve">Volume-reduction and automation levers</t>
  </si>
  <si>
    <t xml:space="preserve">FTE sizing model</t>
  </si>
  <si>
    <t xml:space="preserve">M11 Commercials</t>
  </si>
  <si>
    <t xml:space="preserve">Licensing models compared</t>
  </si>
  <si>
    <t xml:space="preserve">Total cost of ownership modelling</t>
  </si>
  <si>
    <t xml:space="preserve">Pricing strategy and competitiveness</t>
  </si>
  <si>
    <t xml:space="preserve">Cost-optimisation levers</t>
  </si>
  <si>
    <t xml:space="preserve">M12 Capstone</t>
  </si>
  <si>
    <t xml:space="preserve">Extract scope from a sample RFP</t>
  </si>
  <si>
    <t xml:space="preserve">Activity breakdown and effort estimate</t>
  </si>
  <si>
    <t xml:space="preserve">Staffing plan and phase-wise view</t>
  </si>
  <si>
    <t xml:space="preserve">Build the justification narrative</t>
  </si>
  <si>
    <t xml:space="preserve">Product Landscape by Tower</t>
  </si>
  <si>
    <t xml:space="preserve">Current as of mid-2026. Positions summarise analyst coverage; not endorsements.</t>
  </si>
  <si>
    <t xml:space="preserve">Tower</t>
  </si>
  <si>
    <t xml:space="preserve">Product</t>
  </si>
  <si>
    <t xml:space="preserve">Position / type</t>
  </si>
  <si>
    <t xml:space="preserve">Directory Services</t>
  </si>
  <si>
    <t xml:space="preserve">Microsoft Entra ID (was Azure AD)</t>
  </si>
  <si>
    <t xml:space="preserve">Cloud directory</t>
  </si>
  <si>
    <t xml:space="preserve">Default for Microsoft 365 estates; use current name.</t>
  </si>
  <si>
    <t xml:space="preserve">Active Directory DS</t>
  </si>
  <si>
    <t xml:space="preserve">On-prem directory</t>
  </si>
  <si>
    <t xml:space="preserve">Backbone of most enterprises; synced to Entra ID.</t>
  </si>
  <si>
    <t xml:space="preserve">Okta Universal Directory</t>
  </si>
  <si>
    <t xml:space="preserve">Cloud-first, multi-SaaS organisations.</t>
  </si>
  <si>
    <t xml:space="preserve">Ping (PingDirectory)</t>
  </si>
  <si>
    <t xml:space="preserve">On-prem/hybrid</t>
  </si>
  <si>
    <t xml:space="preserve">High-scale; CIAM, telco, finance.</t>
  </si>
  <si>
    <t xml:space="preserve">Radiant Logic</t>
  </si>
  <si>
    <t xml:space="preserve">Virtual directory</t>
  </si>
  <si>
    <t xml:space="preserve">Consolidates many sources; useful in M&amp;A.</t>
  </si>
  <si>
    <t xml:space="preserve">Access Management</t>
  </si>
  <si>
    <t xml:space="preserve">Microsoft Entra ID</t>
  </si>
  <si>
    <t xml:space="preserve">Leader</t>
  </si>
  <si>
    <t xml:space="preserve">Conditional Access, MFA, SSO; strongest in MS ecosystem.</t>
  </si>
  <si>
    <t xml:space="preserve">Okta</t>
  </si>
  <si>
    <t xml:space="preserve">Workforce + Customer; broad SaaS network; owns Auth0.</t>
  </si>
  <si>
    <t xml:space="preserve">Ping Identity</t>
  </si>
  <si>
    <t xml:space="preserve">PingOne/Federate/Access; absorbed ForgeRock.</t>
  </si>
  <si>
    <t xml:space="preserve">IBM Security Verify</t>
  </si>
  <si>
    <t xml:space="preserve">Established</t>
  </si>
  <si>
    <t xml:space="preserve">Regulated and hybrid enterprises.</t>
  </si>
  <si>
    <t xml:space="preserve">Cisco Duo</t>
  </si>
  <si>
    <t xml:space="preserve">MFA specialist</t>
  </si>
  <si>
    <t xml:space="preserve">MFA and device trust.</t>
  </si>
  <si>
    <t xml:space="preserve">IGA</t>
  </si>
  <si>
    <t xml:space="preserve">SailPoint</t>
  </si>
  <si>
    <t xml:space="preserve">Identity Security Cloud + IdentityIQ; deep governance.</t>
  </si>
  <si>
    <t xml:space="preserve">Saviynt</t>
  </si>
  <si>
    <t xml:space="preserve">Leader / Customers' Choice</t>
  </si>
  <si>
    <t xml:space="preserve">Cloud-native; converges IGA, PAM, CIEM.</t>
  </si>
  <si>
    <t xml:space="preserve">Microsoft Entra ID Governance</t>
  </si>
  <si>
    <t xml:space="preserve">Fast-growing</t>
  </si>
  <si>
    <t xml:space="preserve">Native to MS; entitlement mgmt, access reviews.</t>
  </si>
  <si>
    <t xml:space="preserve">One Identity Identity Manager</t>
  </si>
  <si>
    <t xml:space="preserve">Complex on-prem/hybrid.</t>
  </si>
  <si>
    <t xml:space="preserve">Omada Identity</t>
  </si>
  <si>
    <t xml:space="preserve">Microsoft-aligned, configuration-led.</t>
  </si>
  <si>
    <t xml:space="preserve">Oracle Identity Governance (OIG/OIM)</t>
  </si>
  <si>
    <t xml:space="preserve">Legacy enterprise</t>
  </si>
  <si>
    <t xml:space="preserve">Large base; heavy customisation in older builds.</t>
  </si>
  <si>
    <t xml:space="preserve">PAM</t>
  </si>
  <si>
    <t xml:space="preserve">CyberArk</t>
  </si>
  <si>
    <t xml:space="preserve">Leader (vision)</t>
  </si>
  <si>
    <t xml:space="preserve">Broadest capability; secrets + workload identity; CORA AI.</t>
  </si>
  <si>
    <t xml:space="preserve">BeyondTrust</t>
  </si>
  <si>
    <t xml:space="preserve">Leader (execution)</t>
  </si>
  <si>
    <t xml:space="preserve">Strong CX; setup can be complex.</t>
  </si>
  <si>
    <t xml:space="preserve">Delinea</t>
  </si>
  <si>
    <t xml:space="preserve">Ease of use; runtime AI authorization.</t>
  </si>
  <si>
    <t xml:space="preserve">One Identity Safeguard</t>
  </si>
  <si>
    <t xml:space="preserve">Challenger</t>
  </si>
  <si>
    <t xml:space="preserve">Often bundled with IGA.</t>
  </si>
  <si>
    <t xml:space="preserve">Wallix / ARCON / ManageEngine</t>
  </si>
  <si>
    <t xml:space="preserve">Regional/mid-market</t>
  </si>
  <si>
    <t xml:space="preserve">Price-competitive; specific geographies.</t>
  </si>
  <si>
    <t xml:space="preserve">EPM</t>
  </si>
  <si>
    <t xml:space="preserve">CyberArk Endpoint Privilege Manager</t>
  </si>
  <si>
    <t xml:space="preserve">Local-admin removal, app control/ring-fencing; Win/macOS/Linux.</t>
  </si>
  <si>
    <t xml:space="preserve">BeyondTrust Endpoint Privilege Mgmt</t>
  </si>
  <si>
    <t xml:space="preserve">Mature, deep policy engine; Win/Mac/Unix-Linux (ex-Avecto).</t>
  </si>
  <si>
    <t xml:space="preserve">Delinea Privilege Manager</t>
  </si>
  <si>
    <t xml:space="preserve">Leader/mid-market</t>
  </si>
  <si>
    <t xml:space="preserve">App control + endpoint least privilege (ex-Thycotic).</t>
  </si>
  <si>
    <t xml:space="preserve">ThreatLocker</t>
  </si>
  <si>
    <t xml:space="preserve">Specialist</t>
  </si>
  <si>
    <t xml:space="preserve">Allow-listing + ring-fencing; deny-by-default Zero Trust.</t>
  </si>
  <si>
    <t xml:space="preserve">Admin By Request</t>
  </si>
  <si>
    <t xml:space="preserve">Easy deploy, clean UX, cross-platform; time-boxed admin.</t>
  </si>
  <si>
    <t xml:space="preserve">Microsoft Intune EPM</t>
  </si>
  <si>
    <t xml:space="preserve">Native (MS stack)</t>
  </si>
  <si>
    <t xml:space="preserve">Intune Suite add-on; Windows-only today; SMB/gov/MS-stack.</t>
  </si>
  <si>
    <t xml:space="preserve">PKI / CLM</t>
  </si>
  <si>
    <t xml:space="preserve">Microsoft AD CS</t>
  </si>
  <si>
    <t xml:space="preserve">On-prem CA</t>
  </si>
  <si>
    <t xml:space="preserve">Ubiquitous internal CA; often modernised.</t>
  </si>
  <si>
    <t xml:space="preserve">CyberArk Certificate Manager (was Venafi)</t>
  </si>
  <si>
    <t xml:space="preserve">CLM / machine identity</t>
  </si>
  <si>
    <t xml:space="preserve">CyberArk acquired Venafi (2024); large-scale.</t>
  </si>
  <si>
    <t xml:space="preserve">Keyfactor (Command + EJBCA)</t>
  </si>
  <si>
    <t xml:space="preserve">CLM + CA</t>
  </si>
  <si>
    <t xml:space="preserve">Deep AD CS support; strong PQC readiness.</t>
  </si>
  <si>
    <t xml:space="preserve">DigiCert</t>
  </si>
  <si>
    <t xml:space="preserve">CA + CLM</t>
  </si>
  <si>
    <t xml:space="preserve">Strong if already a DigiCert cert customer.</t>
  </si>
  <si>
    <t xml:space="preserve">AppViewX (AVX ONE)</t>
  </si>
  <si>
    <t xml:space="preserve">CLM automation</t>
  </si>
  <si>
    <t xml:space="preserve">Network-device + DevOps workflow automation.</t>
  </si>
  <si>
    <t xml:space="preserve">HashiCorp Vault PKI</t>
  </si>
  <si>
    <t xml:space="preserve">Short-lived certs</t>
  </si>
  <si>
    <t xml:space="preserve">API-driven on-demand certs for cloud-native.</t>
  </si>
  <si>
    <t xml:space="preserve">Identity Proofing</t>
  </si>
  <si>
    <t xml:space="preserve">Onfido (now Entrust)</t>
  </si>
  <si>
    <t xml:space="preserve">Doc + biometric proofing</t>
  </si>
  <si>
    <t xml:space="preserve">Acquired by Entrust; CIAM onboarding.</t>
  </si>
  <si>
    <t xml:space="preserve">Jumio</t>
  </si>
  <si>
    <t xml:space="preserve">Doc + liveness</t>
  </si>
  <si>
    <t xml:space="preserve">Broad regulated-industry use.</t>
  </si>
  <si>
    <t xml:space="preserve">Socure</t>
  </si>
  <si>
    <t xml:space="preserve">Verification + fraud</t>
  </si>
  <si>
    <t xml:space="preserve">Strong fraud analytics in financial services.</t>
  </si>
  <si>
    <t xml:space="preserve">ID.me</t>
  </si>
  <si>
    <t xml:space="preserve">Federated proofing</t>
  </si>
  <si>
    <t xml:space="preserve">Large-scale government/consumer (US).</t>
  </si>
  <si>
    <t xml:space="preserve">Microsoft Entra Verified ID</t>
  </si>
  <si>
    <t xml:space="preserve">Verifiable credentials</t>
  </si>
  <si>
    <t xml:space="preserve">Reusable wallet-based credentials (MS ecosystem).</t>
  </si>
  <si>
    <t xml:space="preserve">CIAM</t>
  </si>
  <si>
    <t xml:space="preserve">Okta Customer Identity / Auth0</t>
  </si>
  <si>
    <t xml:space="preserve">External/consumer identity; Auth0 developer-first.</t>
  </si>
  <si>
    <t xml:space="preserve">Ping Identity (+ ForgeRock)</t>
  </si>
  <si>
    <t xml:space="preserve">Flexible auth; high-scale CIAM.</t>
  </si>
  <si>
    <t xml:space="preserve">Microsoft Entra External ID</t>
  </si>
  <si>
    <t xml:space="preserve">Replaced Azure AD B2C; MS ecosystem.</t>
  </si>
  <si>
    <t xml:space="preserve">Thales OneWelcome</t>
  </si>
  <si>
    <t xml:space="preserve">Strong consent/privacy and compliance.</t>
  </si>
  <si>
    <t xml:space="preserve">Transmit Security / SAP CDC</t>
  </si>
  <si>
    <t xml:space="preserve">Fraud-aware CIAM; SAP CDC = ex-Gigya. Priced per MAU.</t>
  </si>
  <si>
    <t xml:space="preserve">ISPM / ITDR</t>
  </si>
  <si>
    <t xml:space="preserve">Microsoft (Entra posture + ITDR)</t>
  </si>
  <si>
    <t xml:space="preserve">Native</t>
  </si>
  <si>
    <t xml:space="preserve">Posture + threat detection in MS estates.</t>
  </si>
  <si>
    <t xml:space="preserve">Silverfort</t>
  </si>
  <si>
    <t xml:space="preserve">Inline AD analysis; NHI + posture coverage.</t>
  </si>
  <si>
    <t xml:space="preserve">CrowdStrike Falcon Identity</t>
  </si>
  <si>
    <t xml:space="preserve">Unified ISPM, CIEM and ITDR.</t>
  </si>
  <si>
    <t xml:space="preserve">Identity data fabric feeding posture analytics.</t>
  </si>
  <si>
    <t xml:space="preserve">SailPoint / Saviynt ISPM, Veza</t>
  </si>
  <si>
    <t xml:space="preserve">From IGA</t>
  </si>
  <si>
    <t xml:space="preserve">Posture/analytics extending governance. No standalone MQ.</t>
  </si>
  <si>
    <t xml:space="preserve">Estimation &amp; Staffing Cheat-Sheet</t>
  </si>
  <si>
    <t xml:space="preserve">Estimation approaches</t>
  </si>
  <si>
    <t xml:space="preserve">Approach</t>
  </si>
  <si>
    <t xml:space="preserve">Use it for</t>
  </si>
  <si>
    <t xml:space="preserve">Bottom-up (WBS)</t>
  </si>
  <si>
    <t xml:space="preserve">Detailed proposals; highest defensibility</t>
  </si>
  <si>
    <t xml:space="preserve">Parametric (unit x count)</t>
  </si>
  <si>
    <t xml:space="preserve">Repeatable volume work (e.g. app onboarding)</t>
  </si>
  <si>
    <t xml:space="preserve">Analogous (scale from past)</t>
  </si>
  <si>
    <t xml:space="preserve">Early rough sizing</t>
  </si>
  <si>
    <t xml:space="preserve">Top-down (% allocation)</t>
  </si>
  <si>
    <t xml:space="preserve">Budget-constrained sanity checks</t>
  </si>
  <si>
    <t xml:space="preserve">Standard delivery phases</t>
  </si>
  <si>
    <t xml:space="preserve">Phase</t>
  </si>
  <si>
    <t xml:space="preserve">Tick when you can scope it cold</t>
  </si>
  <si>
    <t xml:space="preserve">1. Requirements &amp; Discovery</t>
  </si>
  <si>
    <t xml:space="preserve">2. Design</t>
  </si>
  <si>
    <t xml:space="preserve">3. Build &amp; Setup</t>
  </si>
  <si>
    <t xml:space="preserve">4. Use-case Implementation</t>
  </si>
  <si>
    <t xml:space="preserve">5. Unit Testing</t>
  </si>
  <si>
    <t xml:space="preserve">6. System Integration Testing (SIT)</t>
  </si>
  <si>
    <t xml:space="preserve">7. User Acceptance Testing (UAT)</t>
  </si>
  <si>
    <t xml:space="preserve">8. Deployment &amp; Go-Live</t>
  </si>
  <si>
    <t xml:space="preserve">9. Hypercare</t>
  </si>
  <si>
    <t xml:space="preserve">Effort drivers to always check</t>
  </si>
  <si>
    <t xml:space="preserve">• Count of apps / accounts / certificates and protocol mix</t>
  </si>
  <si>
    <t xml:space="preserve">• Number and complexity of use cases / workflows</t>
  </si>
  <si>
    <t xml:space="preserve">• Number of environments (Non-Prod + Prod) and HA/DR</t>
  </si>
  <si>
    <t xml:space="preserve">• Source data quality (HR feed cleanliness)</t>
  </si>
  <si>
    <t xml:space="preserve">• Integration style: standards-based vs custom/legacy connectors</t>
  </si>
  <si>
    <t xml:space="preserve">• Compliance / audit scope and evidence overhead</t>
  </si>
  <si>
    <t xml:space="preserve">• Migration data volume and historical-state preservation</t>
  </si>
  <si>
    <t xml:space="preserve">Staffing bands (pyramid)</t>
  </si>
  <si>
    <t xml:space="preserve">Band</t>
  </si>
  <si>
    <t xml:space="preserve">Pyramid role</t>
  </si>
  <si>
    <t xml:space="preserve">Solution Architect / Lead</t>
  </si>
  <si>
    <t xml:space="preserve">Apex — few, high-leverage</t>
  </si>
  <si>
    <t xml:space="preserve">Senior Engineer / Consultant</t>
  </si>
  <si>
    <t xml:space="preserve">Upper-middle</t>
  </si>
  <si>
    <t xml:space="preserve">Engineer / Developer</t>
  </si>
  <si>
    <t xml:space="preserve">Broad middle</t>
  </si>
  <si>
    <t xml:space="preserve">Analyst / Offshore</t>
  </si>
  <si>
    <t xml:space="preserve">Base — volume &amp; cost efficiency</t>
  </si>
  <si>
    <t xml:space="preserve">The justification chain (memorise this)</t>
  </si>
  <si>
    <t xml:space="preserve">Requirement → Scope item → Activities (WBS) → Effort driver &amp; assumption → Effort → Role split → FTE → Cost → Phase plan</t>
  </si>
  <si>
    <t xml:space="preserve">Delivery functions (cut across every tower)</t>
  </si>
  <si>
    <t xml:space="preserve">Function</t>
  </si>
  <si>
    <t xml:space="preserve">Heaviest in</t>
  </si>
  <si>
    <t xml:space="preserve">Architecture &amp; design</t>
  </si>
  <si>
    <t xml:space="preserve">Design phase; SA band</t>
  </si>
  <si>
    <t xml:space="preserve">Business analysis</t>
  </si>
  <si>
    <t xml:space="preserve">Discovery &amp; Design; Run changes</t>
  </si>
  <si>
    <t xml:space="preserve">Engineering / build</t>
  </si>
  <si>
    <t xml:space="preserve">Build &amp; use-case; L3 in Run</t>
  </si>
  <si>
    <t xml:space="preserve">Testing / QA</t>
  </si>
  <si>
    <t xml:space="preserve">Unit / SIT / UAT; regression</t>
  </si>
  <si>
    <t xml:space="preserve">Project / delivery mgmt</t>
  </si>
  <si>
    <t xml:space="preserve">All phases (PMO overlay)</t>
  </si>
  <si>
    <t xml:space="preserve">Operations / run</t>
  </si>
  <si>
    <t xml:space="preserve">Entire Run (L1-L3, BAU)</t>
  </si>
  <si>
    <t xml:space="preserve">Audit, risk &amp; compliance</t>
  </si>
  <si>
    <t xml:space="preserve">Design controls; Run evidence</t>
  </si>
  <si>
    <t xml:space="preserve">Reporting &amp; analytics</t>
  </si>
  <si>
    <t xml:space="preserve">Design reqs; Run reporting</t>
  </si>
  <si>
    <t xml:space="preserve">Staffing plan = bands (seniority) x functions (discipline). That cross-tab is your role-wise view.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</si>
</sst>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"/>
    <numFmt numFmtId="167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2E75B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0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65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BBBBBB"/>
      <rgbColor rgb="FF808080"/>
      <rgbColor rgb="FF9999FF"/>
      <rgbColor rgb="FF993366"/>
      <rgbColor rgb="FFFFFFCC"/>
      <rgbColor rgb="FFEAF0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5" customFormat="false" ht="15" hidden="false" customHeight="false" outlineLevel="0" collapsed="false">
      <c r="A5" s="3" t="s">
        <v>2</v>
      </c>
    </row>
    <row r="6" customFormat="false" ht="23.85" hidden="false" customHeight="false" outlineLevel="0" collapsed="false">
      <c r="A6" s="4" t="s">
        <v>3</v>
      </c>
      <c r="B6" s="5" t="s">
        <v>4</v>
      </c>
    </row>
    <row r="7" customFormat="false" ht="23.85" hidden="false" customHeight="false" outlineLevel="0" collapsed="false">
      <c r="A7" s="4" t="s">
        <v>5</v>
      </c>
      <c r="B7" s="5" t="s">
        <v>6</v>
      </c>
    </row>
    <row r="8" customFormat="false" ht="23.85" hidden="false" customHeight="false" outlineLevel="0" collapsed="false">
      <c r="A8" s="4" t="s">
        <v>7</v>
      </c>
      <c r="B8" s="5" t="s">
        <v>8</v>
      </c>
    </row>
    <row r="10" customFormat="false" ht="15" hidden="false" customHeight="false" outlineLevel="0" collapsed="false">
      <c r="A10" s="3" t="s">
        <v>9</v>
      </c>
      <c r="B10" s="6" t="s">
        <v>10</v>
      </c>
    </row>
    <row r="11" customFormat="false" ht="15" hidden="false" customHeight="false" outlineLevel="0" collapsed="false">
      <c r="A11" s="3" t="s">
        <v>11</v>
      </c>
      <c r="B11" s="6" t="s">
        <v>12</v>
      </c>
    </row>
    <row r="12" customFormat="false" ht="15" hidden="false" customHeight="false" outlineLevel="0" collapsed="false">
      <c r="A12" s="3" t="s">
        <v>13</v>
      </c>
      <c r="B12" s="6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40"/>
  </cols>
  <sheetData>
    <row r="1" customFormat="false" ht="19.7" hidden="false" customHeight="false" outlineLevel="0" collapsed="false">
      <c r="A1" s="1" t="s">
        <v>3</v>
      </c>
    </row>
    <row r="3" customFormat="false" ht="15" hidden="false" customHeight="false" outlineLevel="0" collapsed="false">
      <c r="A3" s="7" t="s">
        <v>15</v>
      </c>
      <c r="B3" s="8" t="n">
        <f aca="false">COUNTA(B8:B90)</f>
        <v>83</v>
      </c>
      <c r="D3" s="7" t="s">
        <v>16</v>
      </c>
      <c r="E3" s="9" t="n">
        <f aca="false">SUM(D8:D90)</f>
        <v>77.5</v>
      </c>
    </row>
    <row r="4" customFormat="false" ht="15" hidden="false" customHeight="false" outlineLevel="0" collapsed="false">
      <c r="A4" s="7" t="s">
        <v>17</v>
      </c>
      <c r="B4" s="8" t="n">
        <f aca="false">COUNTIF(C8:C90,"Done")</f>
        <v>0</v>
      </c>
      <c r="D4" s="7" t="s">
        <v>18</v>
      </c>
      <c r="E4" s="9" t="n">
        <f aca="false">SUM(E8:E90)</f>
        <v>0</v>
      </c>
    </row>
    <row r="5" customFormat="false" ht="15" hidden="false" customHeight="false" outlineLevel="0" collapsed="false">
      <c r="A5" s="7" t="s">
        <v>19</v>
      </c>
      <c r="B5" s="10" t="n">
        <f aca="false">IFERROR(B4/B3,0)</f>
        <v>0</v>
      </c>
      <c r="D5" s="7" t="s">
        <v>20</v>
      </c>
      <c r="E5" s="9" t="n">
        <f aca="false">SUMIF(C8:C90,"&lt;&gt;Done",D8:D90)</f>
        <v>77.5</v>
      </c>
    </row>
    <row r="7" customFormat="false" ht="15" hidden="false" customHeight="false" outlineLevel="0" collapsed="false">
      <c r="A7" s="11" t="s">
        <v>21</v>
      </c>
      <c r="B7" s="11" t="s">
        <v>22</v>
      </c>
      <c r="C7" s="11" t="s">
        <v>23</v>
      </c>
      <c r="D7" s="11" t="s">
        <v>24</v>
      </c>
      <c r="E7" s="11" t="s">
        <v>25</v>
      </c>
      <c r="F7" s="11" t="s">
        <v>26</v>
      </c>
    </row>
    <row r="8" customFormat="false" ht="15" hidden="false" customHeight="false" outlineLevel="0" collapsed="false">
      <c r="A8" s="12" t="s">
        <v>27</v>
      </c>
      <c r="B8" s="13" t="s">
        <v>28</v>
      </c>
      <c r="C8" s="14" t="s">
        <v>29</v>
      </c>
      <c r="D8" s="15" t="n">
        <v>0.5</v>
      </c>
      <c r="E8" s="15" t="n">
        <v>0</v>
      </c>
      <c r="F8" s="13"/>
    </row>
    <row r="9" customFormat="false" ht="15" hidden="false" customHeight="false" outlineLevel="0" collapsed="false">
      <c r="A9" s="16" t="s">
        <v>27</v>
      </c>
      <c r="B9" s="17" t="s">
        <v>30</v>
      </c>
      <c r="C9" s="18" t="s">
        <v>29</v>
      </c>
      <c r="D9" s="19" t="n">
        <v>0.5</v>
      </c>
      <c r="E9" s="19" t="n">
        <v>0</v>
      </c>
      <c r="F9" s="17"/>
    </row>
    <row r="10" customFormat="false" ht="15" hidden="false" customHeight="false" outlineLevel="0" collapsed="false">
      <c r="A10" s="12" t="s">
        <v>27</v>
      </c>
      <c r="B10" s="13" t="s">
        <v>31</v>
      </c>
      <c r="C10" s="14" t="s">
        <v>29</v>
      </c>
      <c r="D10" s="15" t="n">
        <v>0.75</v>
      </c>
      <c r="E10" s="15" t="n">
        <v>0</v>
      </c>
      <c r="F10" s="13"/>
    </row>
    <row r="11" customFormat="false" ht="15" hidden="false" customHeight="false" outlineLevel="0" collapsed="false">
      <c r="A11" s="16" t="s">
        <v>27</v>
      </c>
      <c r="B11" s="17" t="s">
        <v>32</v>
      </c>
      <c r="C11" s="18" t="s">
        <v>29</v>
      </c>
      <c r="D11" s="19" t="n">
        <v>0.75</v>
      </c>
      <c r="E11" s="19" t="n">
        <v>0</v>
      </c>
      <c r="F11" s="17"/>
    </row>
    <row r="12" customFormat="false" ht="15" hidden="false" customHeight="false" outlineLevel="0" collapsed="false">
      <c r="A12" s="12" t="s">
        <v>27</v>
      </c>
      <c r="B12" s="13" t="s">
        <v>33</v>
      </c>
      <c r="C12" s="14" t="s">
        <v>29</v>
      </c>
      <c r="D12" s="15" t="n">
        <v>0.5</v>
      </c>
      <c r="E12" s="15" t="n">
        <v>0</v>
      </c>
      <c r="F12" s="13"/>
    </row>
    <row r="13" customFormat="false" ht="15" hidden="false" customHeight="false" outlineLevel="0" collapsed="false">
      <c r="A13" s="16" t="s">
        <v>27</v>
      </c>
      <c r="B13" s="17" t="s">
        <v>34</v>
      </c>
      <c r="C13" s="18" t="s">
        <v>29</v>
      </c>
      <c r="D13" s="19" t="n">
        <v>0.5</v>
      </c>
      <c r="E13" s="19" t="n">
        <v>0</v>
      </c>
      <c r="F13" s="17"/>
    </row>
    <row r="14" customFormat="false" ht="15" hidden="false" customHeight="false" outlineLevel="0" collapsed="false">
      <c r="A14" s="12" t="s">
        <v>35</v>
      </c>
      <c r="B14" s="13" t="s">
        <v>36</v>
      </c>
      <c r="C14" s="14" t="s">
        <v>29</v>
      </c>
      <c r="D14" s="15" t="n">
        <v>0.75</v>
      </c>
      <c r="E14" s="15" t="n">
        <v>0</v>
      </c>
      <c r="F14" s="13"/>
    </row>
    <row r="15" customFormat="false" ht="15" hidden="false" customHeight="false" outlineLevel="0" collapsed="false">
      <c r="A15" s="16" t="s">
        <v>35</v>
      </c>
      <c r="B15" s="17" t="s">
        <v>37</v>
      </c>
      <c r="C15" s="18" t="s">
        <v>29</v>
      </c>
      <c r="D15" s="19" t="n">
        <v>0.75</v>
      </c>
      <c r="E15" s="19" t="n">
        <v>0</v>
      </c>
      <c r="F15" s="17"/>
    </row>
    <row r="16" customFormat="false" ht="15" hidden="false" customHeight="false" outlineLevel="0" collapsed="false">
      <c r="A16" s="12" t="s">
        <v>35</v>
      </c>
      <c r="B16" s="13" t="s">
        <v>38</v>
      </c>
      <c r="C16" s="14" t="s">
        <v>29</v>
      </c>
      <c r="D16" s="15" t="n">
        <v>0.75</v>
      </c>
      <c r="E16" s="15" t="n">
        <v>0</v>
      </c>
      <c r="F16" s="13"/>
    </row>
    <row r="17" customFormat="false" ht="15" hidden="false" customHeight="false" outlineLevel="0" collapsed="false">
      <c r="A17" s="16" t="s">
        <v>35</v>
      </c>
      <c r="B17" s="17" t="s">
        <v>39</v>
      </c>
      <c r="C17" s="18" t="s">
        <v>29</v>
      </c>
      <c r="D17" s="19" t="n">
        <v>0.75</v>
      </c>
      <c r="E17" s="19" t="n">
        <v>0</v>
      </c>
      <c r="F17" s="17"/>
    </row>
    <row r="18" customFormat="false" ht="15" hidden="false" customHeight="false" outlineLevel="0" collapsed="false">
      <c r="A18" s="12" t="s">
        <v>35</v>
      </c>
      <c r="B18" s="13" t="s">
        <v>40</v>
      </c>
      <c r="C18" s="14" t="s">
        <v>29</v>
      </c>
      <c r="D18" s="15" t="n">
        <v>0.5</v>
      </c>
      <c r="E18" s="15" t="n">
        <v>0</v>
      </c>
      <c r="F18" s="13"/>
    </row>
    <row r="19" customFormat="false" ht="15" hidden="false" customHeight="false" outlineLevel="0" collapsed="false">
      <c r="A19" s="16" t="s">
        <v>35</v>
      </c>
      <c r="B19" s="17" t="s">
        <v>41</v>
      </c>
      <c r="C19" s="18" t="s">
        <v>29</v>
      </c>
      <c r="D19" s="19" t="n">
        <v>0.5</v>
      </c>
      <c r="E19" s="19" t="n">
        <v>0</v>
      </c>
      <c r="F19" s="17"/>
    </row>
    <row r="20" customFormat="false" ht="15" hidden="false" customHeight="false" outlineLevel="0" collapsed="false">
      <c r="A20" s="12" t="s">
        <v>42</v>
      </c>
      <c r="B20" s="13" t="s">
        <v>43</v>
      </c>
      <c r="C20" s="14" t="s">
        <v>29</v>
      </c>
      <c r="D20" s="15" t="n">
        <v>0.75</v>
      </c>
      <c r="E20" s="15" t="n">
        <v>0</v>
      </c>
      <c r="F20" s="13"/>
    </row>
    <row r="21" customFormat="false" ht="15" hidden="false" customHeight="false" outlineLevel="0" collapsed="false">
      <c r="A21" s="16" t="s">
        <v>42</v>
      </c>
      <c r="B21" s="17" t="s">
        <v>44</v>
      </c>
      <c r="C21" s="18" t="s">
        <v>29</v>
      </c>
      <c r="D21" s="19" t="n">
        <v>1</v>
      </c>
      <c r="E21" s="19" t="n">
        <v>0</v>
      </c>
      <c r="F21" s="17"/>
    </row>
    <row r="22" customFormat="false" ht="15" hidden="false" customHeight="false" outlineLevel="0" collapsed="false">
      <c r="A22" s="12" t="s">
        <v>42</v>
      </c>
      <c r="B22" s="13" t="s">
        <v>45</v>
      </c>
      <c r="C22" s="14" t="s">
        <v>29</v>
      </c>
      <c r="D22" s="15" t="n">
        <v>0.75</v>
      </c>
      <c r="E22" s="15" t="n">
        <v>0</v>
      </c>
      <c r="F22" s="13"/>
    </row>
    <row r="23" customFormat="false" ht="15" hidden="false" customHeight="false" outlineLevel="0" collapsed="false">
      <c r="A23" s="16" t="s">
        <v>42</v>
      </c>
      <c r="B23" s="17" t="s">
        <v>46</v>
      </c>
      <c r="C23" s="18" t="s">
        <v>29</v>
      </c>
      <c r="D23" s="19" t="n">
        <v>0.75</v>
      </c>
      <c r="E23" s="19" t="n">
        <v>0</v>
      </c>
      <c r="F23" s="17"/>
    </row>
    <row r="24" customFormat="false" ht="15" hidden="false" customHeight="false" outlineLevel="0" collapsed="false">
      <c r="A24" s="12" t="s">
        <v>42</v>
      </c>
      <c r="B24" s="13" t="s">
        <v>47</v>
      </c>
      <c r="C24" s="14" t="s">
        <v>29</v>
      </c>
      <c r="D24" s="15" t="n">
        <v>0.75</v>
      </c>
      <c r="E24" s="15" t="n">
        <v>0</v>
      </c>
      <c r="F24" s="13"/>
    </row>
    <row r="25" customFormat="false" ht="15" hidden="false" customHeight="false" outlineLevel="0" collapsed="false">
      <c r="A25" s="16" t="s">
        <v>42</v>
      </c>
      <c r="B25" s="17" t="s">
        <v>48</v>
      </c>
      <c r="C25" s="18" t="s">
        <v>29</v>
      </c>
      <c r="D25" s="19" t="n">
        <v>1</v>
      </c>
      <c r="E25" s="19" t="n">
        <v>0</v>
      </c>
      <c r="F25" s="17"/>
    </row>
    <row r="26" customFormat="false" ht="15" hidden="false" customHeight="false" outlineLevel="0" collapsed="false">
      <c r="A26" s="12" t="s">
        <v>42</v>
      </c>
      <c r="B26" s="13" t="s">
        <v>41</v>
      </c>
      <c r="C26" s="14" t="s">
        <v>29</v>
      </c>
      <c r="D26" s="15" t="n">
        <v>1</v>
      </c>
      <c r="E26" s="15" t="n">
        <v>0</v>
      </c>
      <c r="F26" s="13"/>
    </row>
    <row r="27" customFormat="false" ht="15" hidden="false" customHeight="false" outlineLevel="0" collapsed="false">
      <c r="A27" s="16" t="s">
        <v>49</v>
      </c>
      <c r="B27" s="17" t="s">
        <v>50</v>
      </c>
      <c r="C27" s="18" t="s">
        <v>29</v>
      </c>
      <c r="D27" s="19" t="n">
        <v>1</v>
      </c>
      <c r="E27" s="19" t="n">
        <v>0</v>
      </c>
      <c r="F27" s="17"/>
    </row>
    <row r="28" customFormat="false" ht="15" hidden="false" customHeight="false" outlineLevel="0" collapsed="false">
      <c r="A28" s="12" t="s">
        <v>49</v>
      </c>
      <c r="B28" s="13" t="s">
        <v>51</v>
      </c>
      <c r="C28" s="14" t="s">
        <v>29</v>
      </c>
      <c r="D28" s="15" t="n">
        <v>1</v>
      </c>
      <c r="E28" s="15" t="n">
        <v>0</v>
      </c>
      <c r="F28" s="13"/>
    </row>
    <row r="29" customFormat="false" ht="15" hidden="false" customHeight="false" outlineLevel="0" collapsed="false">
      <c r="A29" s="16" t="s">
        <v>49</v>
      </c>
      <c r="B29" s="17" t="s">
        <v>52</v>
      </c>
      <c r="C29" s="18" t="s">
        <v>29</v>
      </c>
      <c r="D29" s="19" t="n">
        <v>1</v>
      </c>
      <c r="E29" s="19" t="n">
        <v>0</v>
      </c>
      <c r="F29" s="17"/>
    </row>
    <row r="30" customFormat="false" ht="15" hidden="false" customHeight="false" outlineLevel="0" collapsed="false">
      <c r="A30" s="12" t="s">
        <v>49</v>
      </c>
      <c r="B30" s="13" t="s">
        <v>53</v>
      </c>
      <c r="C30" s="14" t="s">
        <v>29</v>
      </c>
      <c r="D30" s="15" t="n">
        <v>0.75</v>
      </c>
      <c r="E30" s="15" t="n">
        <v>0</v>
      </c>
      <c r="F30" s="13"/>
    </row>
    <row r="31" customFormat="false" ht="15" hidden="false" customHeight="false" outlineLevel="0" collapsed="false">
      <c r="A31" s="16" t="s">
        <v>49</v>
      </c>
      <c r="B31" s="17" t="s">
        <v>54</v>
      </c>
      <c r="C31" s="18" t="s">
        <v>29</v>
      </c>
      <c r="D31" s="19" t="n">
        <v>1</v>
      </c>
      <c r="E31" s="19" t="n">
        <v>0</v>
      </c>
      <c r="F31" s="17"/>
    </row>
    <row r="32" customFormat="false" ht="15" hidden="false" customHeight="false" outlineLevel="0" collapsed="false">
      <c r="A32" s="12" t="s">
        <v>49</v>
      </c>
      <c r="B32" s="13" t="s">
        <v>55</v>
      </c>
      <c r="C32" s="14" t="s">
        <v>29</v>
      </c>
      <c r="D32" s="15" t="n">
        <v>1</v>
      </c>
      <c r="E32" s="15" t="n">
        <v>0</v>
      </c>
      <c r="F32" s="13"/>
    </row>
    <row r="33" customFormat="false" ht="15" hidden="false" customHeight="false" outlineLevel="0" collapsed="false">
      <c r="A33" s="16" t="s">
        <v>49</v>
      </c>
      <c r="B33" s="17" t="s">
        <v>56</v>
      </c>
      <c r="C33" s="18" t="s">
        <v>29</v>
      </c>
      <c r="D33" s="19" t="n">
        <v>1</v>
      </c>
      <c r="E33" s="19" t="n">
        <v>0</v>
      </c>
      <c r="F33" s="17"/>
    </row>
    <row r="34" customFormat="false" ht="15" hidden="false" customHeight="false" outlineLevel="0" collapsed="false">
      <c r="A34" s="12" t="s">
        <v>49</v>
      </c>
      <c r="B34" s="13" t="s">
        <v>57</v>
      </c>
      <c r="C34" s="14" t="s">
        <v>29</v>
      </c>
      <c r="D34" s="15" t="n">
        <v>1.25</v>
      </c>
      <c r="E34" s="15" t="n">
        <v>0</v>
      </c>
      <c r="F34" s="13"/>
    </row>
    <row r="35" customFormat="false" ht="15" hidden="false" customHeight="false" outlineLevel="0" collapsed="false">
      <c r="A35" s="16" t="s">
        <v>49</v>
      </c>
      <c r="B35" s="17" t="s">
        <v>41</v>
      </c>
      <c r="C35" s="18" t="s">
        <v>29</v>
      </c>
      <c r="D35" s="19" t="n">
        <v>1</v>
      </c>
      <c r="E35" s="19" t="n">
        <v>0</v>
      </c>
      <c r="F35" s="17"/>
    </row>
    <row r="36" customFormat="false" ht="15" hidden="false" customHeight="false" outlineLevel="0" collapsed="false">
      <c r="A36" s="12" t="s">
        <v>58</v>
      </c>
      <c r="B36" s="13" t="s">
        <v>59</v>
      </c>
      <c r="C36" s="14" t="s">
        <v>29</v>
      </c>
      <c r="D36" s="15" t="n">
        <v>1</v>
      </c>
      <c r="E36" s="15" t="n">
        <v>0</v>
      </c>
      <c r="F36" s="13"/>
    </row>
    <row r="37" customFormat="false" ht="15" hidden="false" customHeight="false" outlineLevel="0" collapsed="false">
      <c r="A37" s="16" t="s">
        <v>58</v>
      </c>
      <c r="B37" s="17" t="s">
        <v>60</v>
      </c>
      <c r="C37" s="18" t="s">
        <v>29</v>
      </c>
      <c r="D37" s="19" t="n">
        <v>1</v>
      </c>
      <c r="E37" s="19" t="n">
        <v>0</v>
      </c>
      <c r="F37" s="17"/>
    </row>
    <row r="38" customFormat="false" ht="15" hidden="false" customHeight="false" outlineLevel="0" collapsed="false">
      <c r="A38" s="12" t="s">
        <v>58</v>
      </c>
      <c r="B38" s="13" t="s">
        <v>61</v>
      </c>
      <c r="C38" s="14" t="s">
        <v>29</v>
      </c>
      <c r="D38" s="15" t="n">
        <v>1</v>
      </c>
      <c r="E38" s="15" t="n">
        <v>0</v>
      </c>
      <c r="F38" s="13"/>
    </row>
    <row r="39" customFormat="false" ht="15" hidden="false" customHeight="false" outlineLevel="0" collapsed="false">
      <c r="A39" s="16" t="s">
        <v>58</v>
      </c>
      <c r="B39" s="17" t="s">
        <v>62</v>
      </c>
      <c r="C39" s="18" t="s">
        <v>29</v>
      </c>
      <c r="D39" s="19" t="n">
        <v>1</v>
      </c>
      <c r="E39" s="19" t="n">
        <v>0</v>
      </c>
      <c r="F39" s="17"/>
    </row>
    <row r="40" customFormat="false" ht="15" hidden="false" customHeight="false" outlineLevel="0" collapsed="false">
      <c r="A40" s="12" t="s">
        <v>58</v>
      </c>
      <c r="B40" s="13" t="s">
        <v>63</v>
      </c>
      <c r="C40" s="14" t="s">
        <v>29</v>
      </c>
      <c r="D40" s="15" t="n">
        <v>0.75</v>
      </c>
      <c r="E40" s="15" t="n">
        <v>0</v>
      </c>
      <c r="F40" s="13"/>
    </row>
    <row r="41" customFormat="false" ht="15" hidden="false" customHeight="false" outlineLevel="0" collapsed="false">
      <c r="A41" s="16" t="s">
        <v>58</v>
      </c>
      <c r="B41" s="17" t="s">
        <v>56</v>
      </c>
      <c r="C41" s="18" t="s">
        <v>29</v>
      </c>
      <c r="D41" s="19" t="n">
        <v>1</v>
      </c>
      <c r="E41" s="19" t="n">
        <v>0</v>
      </c>
      <c r="F41" s="17"/>
    </row>
    <row r="42" customFormat="false" ht="15" hidden="false" customHeight="false" outlineLevel="0" collapsed="false">
      <c r="A42" s="12" t="s">
        <v>58</v>
      </c>
      <c r="B42" s="13" t="s">
        <v>40</v>
      </c>
      <c r="C42" s="14" t="s">
        <v>29</v>
      </c>
      <c r="D42" s="15" t="n">
        <v>1.25</v>
      </c>
      <c r="E42" s="15" t="n">
        <v>0</v>
      </c>
      <c r="F42" s="13"/>
    </row>
    <row r="43" customFormat="false" ht="15" hidden="false" customHeight="false" outlineLevel="0" collapsed="false">
      <c r="A43" s="16" t="s">
        <v>58</v>
      </c>
      <c r="B43" s="17" t="s">
        <v>41</v>
      </c>
      <c r="C43" s="18" t="s">
        <v>29</v>
      </c>
      <c r="D43" s="19" t="n">
        <v>1</v>
      </c>
      <c r="E43" s="19" t="n">
        <v>0</v>
      </c>
      <c r="F43" s="17"/>
    </row>
    <row r="44" customFormat="false" ht="15" hidden="false" customHeight="false" outlineLevel="0" collapsed="false">
      <c r="A44" s="12" t="s">
        <v>64</v>
      </c>
      <c r="B44" s="13" t="s">
        <v>65</v>
      </c>
      <c r="C44" s="14" t="s">
        <v>29</v>
      </c>
      <c r="D44" s="15" t="n">
        <v>0.75</v>
      </c>
      <c r="E44" s="15" t="n">
        <v>0</v>
      </c>
      <c r="F44" s="13"/>
    </row>
    <row r="45" customFormat="false" ht="15" hidden="false" customHeight="false" outlineLevel="0" collapsed="false">
      <c r="A45" s="16" t="s">
        <v>64</v>
      </c>
      <c r="B45" s="17" t="s">
        <v>66</v>
      </c>
      <c r="C45" s="18" t="s">
        <v>29</v>
      </c>
      <c r="D45" s="19" t="n">
        <v>0.75</v>
      </c>
      <c r="E45" s="19" t="n">
        <v>0</v>
      </c>
      <c r="F45" s="17"/>
    </row>
    <row r="46" customFormat="false" ht="15" hidden="false" customHeight="false" outlineLevel="0" collapsed="false">
      <c r="A46" s="12" t="s">
        <v>64</v>
      </c>
      <c r="B46" s="13" t="s">
        <v>67</v>
      </c>
      <c r="C46" s="14" t="s">
        <v>29</v>
      </c>
      <c r="D46" s="15" t="n">
        <v>0.75</v>
      </c>
      <c r="E46" s="15" t="n">
        <v>0</v>
      </c>
      <c r="F46" s="13"/>
    </row>
    <row r="47" customFormat="false" ht="15" hidden="false" customHeight="false" outlineLevel="0" collapsed="false">
      <c r="A47" s="16" t="s">
        <v>64</v>
      </c>
      <c r="B47" s="17" t="s">
        <v>68</v>
      </c>
      <c r="C47" s="18" t="s">
        <v>29</v>
      </c>
      <c r="D47" s="19" t="n">
        <v>0.5</v>
      </c>
      <c r="E47" s="19" t="n">
        <v>0</v>
      </c>
      <c r="F47" s="17"/>
    </row>
    <row r="48" customFormat="false" ht="15" hidden="false" customHeight="false" outlineLevel="0" collapsed="false">
      <c r="A48" s="12" t="s">
        <v>64</v>
      </c>
      <c r="B48" s="13" t="s">
        <v>56</v>
      </c>
      <c r="C48" s="14" t="s">
        <v>29</v>
      </c>
      <c r="D48" s="15" t="n">
        <v>0.75</v>
      </c>
      <c r="E48" s="15" t="n">
        <v>0</v>
      </c>
      <c r="F48" s="13"/>
    </row>
    <row r="49" customFormat="false" ht="15" hidden="false" customHeight="false" outlineLevel="0" collapsed="false">
      <c r="A49" s="16" t="s">
        <v>64</v>
      </c>
      <c r="B49" s="17" t="s">
        <v>40</v>
      </c>
      <c r="C49" s="18" t="s">
        <v>29</v>
      </c>
      <c r="D49" s="19" t="n">
        <v>0.75</v>
      </c>
      <c r="E49" s="19" t="n">
        <v>0</v>
      </c>
      <c r="F49" s="17"/>
    </row>
    <row r="50" customFormat="false" ht="15" hidden="false" customHeight="false" outlineLevel="0" collapsed="false">
      <c r="A50" s="12" t="s">
        <v>64</v>
      </c>
      <c r="B50" s="13" t="s">
        <v>41</v>
      </c>
      <c r="C50" s="14" t="s">
        <v>29</v>
      </c>
      <c r="D50" s="15" t="n">
        <v>0.75</v>
      </c>
      <c r="E50" s="15" t="n">
        <v>0</v>
      </c>
      <c r="F50" s="13"/>
    </row>
    <row r="51" customFormat="false" ht="15" hidden="false" customHeight="false" outlineLevel="0" collapsed="false">
      <c r="A51" s="16" t="s">
        <v>69</v>
      </c>
      <c r="B51" s="17" t="s">
        <v>70</v>
      </c>
      <c r="C51" s="18" t="s">
        <v>29</v>
      </c>
      <c r="D51" s="19" t="n">
        <v>1</v>
      </c>
      <c r="E51" s="19" t="n">
        <v>0</v>
      </c>
      <c r="F51" s="17"/>
    </row>
    <row r="52" customFormat="false" ht="15" hidden="false" customHeight="false" outlineLevel="0" collapsed="false">
      <c r="A52" s="12" t="s">
        <v>69</v>
      </c>
      <c r="B52" s="13" t="s">
        <v>71</v>
      </c>
      <c r="C52" s="14" t="s">
        <v>29</v>
      </c>
      <c r="D52" s="15" t="n">
        <v>1</v>
      </c>
      <c r="E52" s="15" t="n">
        <v>0</v>
      </c>
      <c r="F52" s="13"/>
    </row>
    <row r="53" customFormat="false" ht="15" hidden="false" customHeight="false" outlineLevel="0" collapsed="false">
      <c r="A53" s="16" t="s">
        <v>69</v>
      </c>
      <c r="B53" s="17" t="s">
        <v>72</v>
      </c>
      <c r="C53" s="18" t="s">
        <v>29</v>
      </c>
      <c r="D53" s="19" t="n">
        <v>0.75</v>
      </c>
      <c r="E53" s="19" t="n">
        <v>0</v>
      </c>
      <c r="F53" s="17"/>
    </row>
    <row r="54" customFormat="false" ht="15" hidden="false" customHeight="false" outlineLevel="0" collapsed="false">
      <c r="A54" s="12" t="s">
        <v>69</v>
      </c>
      <c r="B54" s="13" t="s">
        <v>73</v>
      </c>
      <c r="C54" s="14" t="s">
        <v>29</v>
      </c>
      <c r="D54" s="15" t="n">
        <v>0.75</v>
      </c>
      <c r="E54" s="15" t="n">
        <v>0</v>
      </c>
      <c r="F54" s="13"/>
    </row>
    <row r="55" customFormat="false" ht="15" hidden="false" customHeight="false" outlineLevel="0" collapsed="false">
      <c r="A55" s="16" t="s">
        <v>69</v>
      </c>
      <c r="B55" s="17" t="s">
        <v>74</v>
      </c>
      <c r="C55" s="18" t="s">
        <v>29</v>
      </c>
      <c r="D55" s="19" t="n">
        <v>1.5</v>
      </c>
      <c r="E55" s="19" t="n">
        <v>0</v>
      </c>
      <c r="F55" s="17"/>
    </row>
    <row r="56" customFormat="false" ht="15" hidden="false" customHeight="false" outlineLevel="0" collapsed="false">
      <c r="A56" s="12" t="s">
        <v>69</v>
      </c>
      <c r="B56" s="13" t="s">
        <v>41</v>
      </c>
      <c r="C56" s="14" t="s">
        <v>29</v>
      </c>
      <c r="D56" s="15" t="n">
        <v>1</v>
      </c>
      <c r="E56" s="15" t="n">
        <v>0</v>
      </c>
      <c r="F56" s="13"/>
    </row>
    <row r="57" customFormat="false" ht="15" hidden="false" customHeight="false" outlineLevel="0" collapsed="false">
      <c r="A57" s="16" t="s">
        <v>75</v>
      </c>
      <c r="B57" s="17" t="s">
        <v>76</v>
      </c>
      <c r="C57" s="18" t="s">
        <v>29</v>
      </c>
      <c r="D57" s="19" t="n">
        <v>0.75</v>
      </c>
      <c r="E57" s="19" t="n">
        <v>0</v>
      </c>
      <c r="F57" s="17"/>
    </row>
    <row r="58" customFormat="false" ht="15" hidden="false" customHeight="false" outlineLevel="0" collapsed="false">
      <c r="A58" s="12" t="s">
        <v>75</v>
      </c>
      <c r="B58" s="13" t="s">
        <v>77</v>
      </c>
      <c r="C58" s="14" t="s">
        <v>29</v>
      </c>
      <c r="D58" s="15" t="n">
        <v>0.75</v>
      </c>
      <c r="E58" s="15" t="n">
        <v>0</v>
      </c>
      <c r="F58" s="13"/>
    </row>
    <row r="59" customFormat="false" ht="15" hidden="false" customHeight="false" outlineLevel="0" collapsed="false">
      <c r="A59" s="16" t="s">
        <v>75</v>
      </c>
      <c r="B59" s="17" t="s">
        <v>78</v>
      </c>
      <c r="C59" s="18" t="s">
        <v>29</v>
      </c>
      <c r="D59" s="19" t="n">
        <v>0.5</v>
      </c>
      <c r="E59" s="19" t="n">
        <v>0</v>
      </c>
      <c r="F59" s="17"/>
    </row>
    <row r="60" customFormat="false" ht="15" hidden="false" customHeight="false" outlineLevel="0" collapsed="false">
      <c r="A60" s="12" t="s">
        <v>75</v>
      </c>
      <c r="B60" s="13" t="s">
        <v>79</v>
      </c>
      <c r="C60" s="14" t="s">
        <v>29</v>
      </c>
      <c r="D60" s="15" t="n">
        <v>0.5</v>
      </c>
      <c r="E60" s="15" t="n">
        <v>0</v>
      </c>
      <c r="F60" s="13"/>
    </row>
    <row r="61" customFormat="false" ht="15" hidden="false" customHeight="false" outlineLevel="0" collapsed="false">
      <c r="A61" s="16" t="s">
        <v>75</v>
      </c>
      <c r="B61" s="17" t="s">
        <v>80</v>
      </c>
      <c r="C61" s="18" t="s">
        <v>29</v>
      </c>
      <c r="D61" s="19" t="n">
        <v>1.5</v>
      </c>
      <c r="E61" s="19" t="n">
        <v>0</v>
      </c>
      <c r="F61" s="17"/>
    </row>
    <row r="62" customFormat="false" ht="15" hidden="false" customHeight="false" outlineLevel="0" collapsed="false">
      <c r="A62" s="12" t="s">
        <v>81</v>
      </c>
      <c r="B62" s="13" t="s">
        <v>82</v>
      </c>
      <c r="C62" s="14" t="s">
        <v>29</v>
      </c>
      <c r="D62" s="15" t="n">
        <v>0.75</v>
      </c>
      <c r="E62" s="15" t="n">
        <v>0</v>
      </c>
      <c r="F62" s="13"/>
    </row>
    <row r="63" customFormat="false" ht="15" hidden="false" customHeight="false" outlineLevel="0" collapsed="false">
      <c r="A63" s="16" t="s">
        <v>81</v>
      </c>
      <c r="B63" s="17" t="s">
        <v>83</v>
      </c>
      <c r="C63" s="18" t="s">
        <v>29</v>
      </c>
      <c r="D63" s="19" t="n">
        <v>1</v>
      </c>
      <c r="E63" s="19" t="n">
        <v>0</v>
      </c>
      <c r="F63" s="17"/>
    </row>
    <row r="64" customFormat="false" ht="15" hidden="false" customHeight="false" outlineLevel="0" collapsed="false">
      <c r="A64" s="12" t="s">
        <v>81</v>
      </c>
      <c r="B64" s="13" t="s">
        <v>84</v>
      </c>
      <c r="C64" s="14" t="s">
        <v>29</v>
      </c>
      <c r="D64" s="15" t="n">
        <v>0.75</v>
      </c>
      <c r="E64" s="15" t="n">
        <v>0</v>
      </c>
      <c r="F64" s="13"/>
    </row>
    <row r="65" customFormat="false" ht="15" hidden="false" customHeight="false" outlineLevel="0" collapsed="false">
      <c r="A65" s="16" t="s">
        <v>81</v>
      </c>
      <c r="B65" s="17" t="s">
        <v>85</v>
      </c>
      <c r="C65" s="18" t="s">
        <v>29</v>
      </c>
      <c r="D65" s="19" t="n">
        <v>1</v>
      </c>
      <c r="E65" s="19" t="n">
        <v>0</v>
      </c>
      <c r="F65" s="17"/>
    </row>
    <row r="66" customFormat="false" ht="15" hidden="false" customHeight="false" outlineLevel="0" collapsed="false">
      <c r="A66" s="12" t="s">
        <v>81</v>
      </c>
      <c r="B66" s="13" t="s">
        <v>86</v>
      </c>
      <c r="C66" s="14" t="s">
        <v>29</v>
      </c>
      <c r="D66" s="15" t="n">
        <v>1.5</v>
      </c>
      <c r="E66" s="15" t="n">
        <v>0</v>
      </c>
      <c r="F66" s="13"/>
    </row>
    <row r="67" customFormat="false" ht="15" hidden="false" customHeight="false" outlineLevel="0" collapsed="false">
      <c r="A67" s="16" t="s">
        <v>87</v>
      </c>
      <c r="B67" s="17" t="s">
        <v>88</v>
      </c>
      <c r="C67" s="18" t="s">
        <v>29</v>
      </c>
      <c r="D67" s="19" t="n">
        <v>0.75</v>
      </c>
      <c r="E67" s="19" t="n">
        <v>0</v>
      </c>
      <c r="F67" s="17"/>
    </row>
    <row r="68" customFormat="false" ht="15" hidden="false" customHeight="false" outlineLevel="0" collapsed="false">
      <c r="A68" s="12" t="s">
        <v>87</v>
      </c>
      <c r="B68" s="13" t="s">
        <v>89</v>
      </c>
      <c r="C68" s="14" t="s">
        <v>29</v>
      </c>
      <c r="D68" s="15" t="n">
        <v>0.75</v>
      </c>
      <c r="E68" s="15" t="n">
        <v>0</v>
      </c>
      <c r="F68" s="13"/>
    </row>
    <row r="69" customFormat="false" ht="15" hidden="false" customHeight="false" outlineLevel="0" collapsed="false">
      <c r="A69" s="16" t="s">
        <v>87</v>
      </c>
      <c r="B69" s="17" t="s">
        <v>90</v>
      </c>
      <c r="C69" s="18" t="s">
        <v>29</v>
      </c>
      <c r="D69" s="19" t="n">
        <v>1</v>
      </c>
      <c r="E69" s="19" t="n">
        <v>0</v>
      </c>
      <c r="F69" s="17"/>
    </row>
    <row r="70" customFormat="false" ht="15" hidden="false" customHeight="false" outlineLevel="0" collapsed="false">
      <c r="A70" s="12" t="s">
        <v>87</v>
      </c>
      <c r="B70" s="13" t="s">
        <v>91</v>
      </c>
      <c r="C70" s="14" t="s">
        <v>29</v>
      </c>
      <c r="D70" s="15" t="n">
        <v>0.75</v>
      </c>
      <c r="E70" s="15" t="n">
        <v>0</v>
      </c>
      <c r="F70" s="13"/>
    </row>
    <row r="71" customFormat="false" ht="15" hidden="false" customHeight="false" outlineLevel="0" collapsed="false">
      <c r="A71" s="16" t="s">
        <v>87</v>
      </c>
      <c r="B71" s="17" t="s">
        <v>92</v>
      </c>
      <c r="C71" s="18" t="s">
        <v>29</v>
      </c>
      <c r="D71" s="19" t="n">
        <v>0.75</v>
      </c>
      <c r="E71" s="19" t="n">
        <v>0</v>
      </c>
      <c r="F71" s="17"/>
    </row>
    <row r="72" customFormat="false" ht="15" hidden="false" customHeight="false" outlineLevel="0" collapsed="false">
      <c r="A72" s="12" t="s">
        <v>93</v>
      </c>
      <c r="B72" s="13" t="s">
        <v>94</v>
      </c>
      <c r="C72" s="14" t="s">
        <v>29</v>
      </c>
      <c r="D72" s="15" t="n">
        <v>1</v>
      </c>
      <c r="E72" s="15" t="n">
        <v>0</v>
      </c>
      <c r="F72" s="13"/>
    </row>
    <row r="73" customFormat="false" ht="15" hidden="false" customHeight="false" outlineLevel="0" collapsed="false">
      <c r="A73" s="16" t="s">
        <v>93</v>
      </c>
      <c r="B73" s="17" t="s">
        <v>95</v>
      </c>
      <c r="C73" s="18" t="s">
        <v>29</v>
      </c>
      <c r="D73" s="19" t="n">
        <v>1</v>
      </c>
      <c r="E73" s="19" t="n">
        <v>0</v>
      </c>
      <c r="F73" s="17"/>
    </row>
    <row r="74" customFormat="false" ht="15" hidden="false" customHeight="false" outlineLevel="0" collapsed="false">
      <c r="A74" s="12" t="s">
        <v>93</v>
      </c>
      <c r="B74" s="13" t="s">
        <v>96</v>
      </c>
      <c r="C74" s="14" t="s">
        <v>29</v>
      </c>
      <c r="D74" s="15" t="n">
        <v>1.5</v>
      </c>
      <c r="E74" s="15" t="n">
        <v>0</v>
      </c>
      <c r="F74" s="13"/>
    </row>
    <row r="75" customFormat="false" ht="15" hidden="false" customHeight="false" outlineLevel="0" collapsed="false">
      <c r="A75" s="16" t="s">
        <v>93</v>
      </c>
      <c r="B75" s="17" t="s">
        <v>97</v>
      </c>
      <c r="C75" s="18" t="s">
        <v>29</v>
      </c>
      <c r="D75" s="19" t="n">
        <v>1.5</v>
      </c>
      <c r="E75" s="19" t="n">
        <v>0</v>
      </c>
      <c r="F75" s="17"/>
    </row>
    <row r="76" customFormat="false" ht="15" hidden="false" customHeight="false" outlineLevel="0" collapsed="false">
      <c r="A76" s="12" t="s">
        <v>93</v>
      </c>
      <c r="B76" s="13" t="s">
        <v>98</v>
      </c>
      <c r="C76" s="14" t="s">
        <v>29</v>
      </c>
      <c r="D76" s="15" t="n">
        <v>1</v>
      </c>
      <c r="E76" s="15" t="n">
        <v>0</v>
      </c>
      <c r="F76" s="13"/>
    </row>
    <row r="77" customFormat="false" ht="15" hidden="false" customHeight="false" outlineLevel="0" collapsed="false">
      <c r="A77" s="16" t="s">
        <v>93</v>
      </c>
      <c r="B77" s="17" t="s">
        <v>99</v>
      </c>
      <c r="C77" s="18" t="s">
        <v>29</v>
      </c>
      <c r="D77" s="19" t="n">
        <v>1</v>
      </c>
      <c r="E77" s="19" t="n">
        <v>0</v>
      </c>
      <c r="F77" s="17"/>
    </row>
    <row r="78" customFormat="false" ht="15" hidden="false" customHeight="false" outlineLevel="0" collapsed="false">
      <c r="A78" s="12" t="s">
        <v>100</v>
      </c>
      <c r="B78" s="13" t="s">
        <v>101</v>
      </c>
      <c r="C78" s="14" t="s">
        <v>29</v>
      </c>
      <c r="D78" s="15" t="n">
        <v>1</v>
      </c>
      <c r="E78" s="15" t="n">
        <v>0</v>
      </c>
      <c r="F78" s="13"/>
    </row>
    <row r="79" customFormat="false" ht="15" hidden="false" customHeight="false" outlineLevel="0" collapsed="false">
      <c r="A79" s="16" t="s">
        <v>100</v>
      </c>
      <c r="B79" s="17" t="s">
        <v>102</v>
      </c>
      <c r="C79" s="18" t="s">
        <v>29</v>
      </c>
      <c r="D79" s="19" t="n">
        <v>1</v>
      </c>
      <c r="E79" s="19" t="n">
        <v>0</v>
      </c>
      <c r="F79" s="17"/>
    </row>
    <row r="80" customFormat="false" ht="15" hidden="false" customHeight="false" outlineLevel="0" collapsed="false">
      <c r="A80" s="12" t="s">
        <v>100</v>
      </c>
      <c r="B80" s="13" t="s">
        <v>103</v>
      </c>
      <c r="C80" s="14" t="s">
        <v>29</v>
      </c>
      <c r="D80" s="15" t="n">
        <v>1</v>
      </c>
      <c r="E80" s="15" t="n">
        <v>0</v>
      </c>
      <c r="F80" s="13"/>
    </row>
    <row r="81" customFormat="false" ht="15" hidden="false" customHeight="false" outlineLevel="0" collapsed="false">
      <c r="A81" s="16" t="s">
        <v>100</v>
      </c>
      <c r="B81" s="17" t="s">
        <v>104</v>
      </c>
      <c r="C81" s="18" t="s">
        <v>29</v>
      </c>
      <c r="D81" s="19" t="n">
        <v>1.5</v>
      </c>
      <c r="E81" s="19" t="n">
        <v>0</v>
      </c>
      <c r="F81" s="17"/>
    </row>
    <row r="82" customFormat="false" ht="15" hidden="false" customHeight="false" outlineLevel="0" collapsed="false">
      <c r="A82" s="12" t="s">
        <v>100</v>
      </c>
      <c r="B82" s="13" t="s">
        <v>105</v>
      </c>
      <c r="C82" s="14" t="s">
        <v>29</v>
      </c>
      <c r="D82" s="15" t="n">
        <v>1.5</v>
      </c>
      <c r="E82" s="15" t="n">
        <v>0</v>
      </c>
      <c r="F82" s="13"/>
    </row>
    <row r="83" customFormat="false" ht="15" hidden="false" customHeight="false" outlineLevel="0" collapsed="false">
      <c r="A83" s="16" t="s">
        <v>106</v>
      </c>
      <c r="B83" s="17" t="s">
        <v>107</v>
      </c>
      <c r="C83" s="18" t="s">
        <v>29</v>
      </c>
      <c r="D83" s="19" t="n">
        <v>1</v>
      </c>
      <c r="E83" s="19" t="n">
        <v>0</v>
      </c>
      <c r="F83" s="17"/>
    </row>
    <row r="84" customFormat="false" ht="15" hidden="false" customHeight="false" outlineLevel="0" collapsed="false">
      <c r="A84" s="12" t="s">
        <v>106</v>
      </c>
      <c r="B84" s="13" t="s">
        <v>108</v>
      </c>
      <c r="C84" s="14" t="s">
        <v>29</v>
      </c>
      <c r="D84" s="15" t="n">
        <v>1</v>
      </c>
      <c r="E84" s="15" t="n">
        <v>0</v>
      </c>
      <c r="F84" s="13"/>
    </row>
    <row r="85" customFormat="false" ht="15" hidden="false" customHeight="false" outlineLevel="0" collapsed="false">
      <c r="A85" s="16" t="s">
        <v>106</v>
      </c>
      <c r="B85" s="17" t="s">
        <v>109</v>
      </c>
      <c r="C85" s="18" t="s">
        <v>29</v>
      </c>
      <c r="D85" s="19" t="n">
        <v>1</v>
      </c>
      <c r="E85" s="19" t="n">
        <v>0</v>
      </c>
      <c r="F85" s="17"/>
    </row>
    <row r="86" customFormat="false" ht="15" hidden="false" customHeight="false" outlineLevel="0" collapsed="false">
      <c r="A86" s="12" t="s">
        <v>106</v>
      </c>
      <c r="B86" s="13" t="s">
        <v>110</v>
      </c>
      <c r="C86" s="14" t="s">
        <v>29</v>
      </c>
      <c r="D86" s="15" t="n">
        <v>1</v>
      </c>
      <c r="E86" s="15" t="n">
        <v>0</v>
      </c>
      <c r="F86" s="13"/>
    </row>
    <row r="87" customFormat="false" ht="15" hidden="false" customHeight="false" outlineLevel="0" collapsed="false">
      <c r="A87" s="16" t="s">
        <v>111</v>
      </c>
      <c r="B87" s="17" t="s">
        <v>112</v>
      </c>
      <c r="C87" s="18" t="s">
        <v>29</v>
      </c>
      <c r="D87" s="19" t="n">
        <v>1.5</v>
      </c>
      <c r="E87" s="19" t="n">
        <v>0</v>
      </c>
      <c r="F87" s="17"/>
    </row>
    <row r="88" customFormat="false" ht="15" hidden="false" customHeight="false" outlineLevel="0" collapsed="false">
      <c r="A88" s="12" t="s">
        <v>111</v>
      </c>
      <c r="B88" s="13" t="s">
        <v>113</v>
      </c>
      <c r="C88" s="14" t="s">
        <v>29</v>
      </c>
      <c r="D88" s="15" t="n">
        <v>1.5</v>
      </c>
      <c r="E88" s="15" t="n">
        <v>0</v>
      </c>
      <c r="F88" s="13"/>
    </row>
    <row r="89" customFormat="false" ht="15" hidden="false" customHeight="false" outlineLevel="0" collapsed="false">
      <c r="A89" s="16" t="s">
        <v>111</v>
      </c>
      <c r="B89" s="17" t="s">
        <v>114</v>
      </c>
      <c r="C89" s="18" t="s">
        <v>29</v>
      </c>
      <c r="D89" s="19" t="n">
        <v>1.5</v>
      </c>
      <c r="E89" s="19" t="n">
        <v>0</v>
      </c>
      <c r="F89" s="17"/>
    </row>
    <row r="90" customFormat="false" ht="15" hidden="false" customHeight="false" outlineLevel="0" collapsed="false">
      <c r="A90" s="12" t="s">
        <v>111</v>
      </c>
      <c r="B90" s="13" t="s">
        <v>115</v>
      </c>
      <c r="C90" s="14" t="s">
        <v>29</v>
      </c>
      <c r="D90" s="15" t="n">
        <v>1.5</v>
      </c>
      <c r="E90" s="15" t="n">
        <v>0</v>
      </c>
      <c r="F90" s="13"/>
    </row>
  </sheetData>
  <conditionalFormatting sqref="C8:C90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</conditionalFormatting>
  <dataValidations count="1">
    <dataValidation allowBlank="true" errorStyle="stop" operator="between" showDropDown="false" showErrorMessage="false" showInputMessage="false" sqref="C8:C90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24"/>
    <col collapsed="false" customWidth="true" hidden="false" outlineLevel="0" max="4" min="4" style="0" width="52"/>
  </cols>
  <sheetData>
    <row r="1" customFormat="false" ht="19.7" hidden="false" customHeight="false" outlineLevel="0" collapsed="false">
      <c r="A1" s="1" t="s">
        <v>116</v>
      </c>
    </row>
    <row r="2" customFormat="false" ht="15" hidden="false" customHeight="false" outlineLevel="0" collapsed="false">
      <c r="A2" s="20" t="s">
        <v>117</v>
      </c>
    </row>
    <row r="4" customFormat="false" ht="15" hidden="false" customHeight="false" outlineLevel="0" collapsed="false">
      <c r="A4" s="11" t="s">
        <v>118</v>
      </c>
      <c r="B4" s="11" t="s">
        <v>119</v>
      </c>
      <c r="C4" s="11" t="s">
        <v>120</v>
      </c>
      <c r="D4" s="11" t="s">
        <v>26</v>
      </c>
    </row>
    <row r="5" customFormat="false" ht="15" hidden="false" customHeight="false" outlineLevel="0" collapsed="false">
      <c r="A5" s="16" t="s">
        <v>121</v>
      </c>
      <c r="B5" s="21" t="s">
        <v>122</v>
      </c>
      <c r="C5" s="13" t="s">
        <v>123</v>
      </c>
      <c r="D5" s="13" t="s">
        <v>124</v>
      </c>
    </row>
    <row r="6" customFormat="false" ht="15" hidden="false" customHeight="false" outlineLevel="0" collapsed="false">
      <c r="A6" s="16" t="s">
        <v>121</v>
      </c>
      <c r="B6" s="21" t="s">
        <v>125</v>
      </c>
      <c r="C6" s="13" t="s">
        <v>126</v>
      </c>
      <c r="D6" s="13" t="s">
        <v>127</v>
      </c>
    </row>
    <row r="7" customFormat="false" ht="15" hidden="false" customHeight="false" outlineLevel="0" collapsed="false">
      <c r="A7" s="16" t="s">
        <v>121</v>
      </c>
      <c r="B7" s="21" t="s">
        <v>128</v>
      </c>
      <c r="C7" s="13" t="s">
        <v>123</v>
      </c>
      <c r="D7" s="13" t="s">
        <v>129</v>
      </c>
    </row>
    <row r="8" customFormat="false" ht="15" hidden="false" customHeight="false" outlineLevel="0" collapsed="false">
      <c r="A8" s="16" t="s">
        <v>121</v>
      </c>
      <c r="B8" s="21" t="s">
        <v>130</v>
      </c>
      <c r="C8" s="13" t="s">
        <v>131</v>
      </c>
      <c r="D8" s="13" t="s">
        <v>132</v>
      </c>
    </row>
    <row r="9" customFormat="false" ht="15" hidden="false" customHeight="false" outlineLevel="0" collapsed="false">
      <c r="A9" s="16" t="s">
        <v>121</v>
      </c>
      <c r="B9" s="21" t="s">
        <v>133</v>
      </c>
      <c r="C9" s="13" t="s">
        <v>134</v>
      </c>
      <c r="D9" s="13" t="s">
        <v>135</v>
      </c>
    </row>
    <row r="10" customFormat="false" ht="15" hidden="false" customHeight="false" outlineLevel="0" collapsed="false">
      <c r="A10" s="16" t="s">
        <v>136</v>
      </c>
      <c r="B10" s="21" t="s">
        <v>137</v>
      </c>
      <c r="C10" s="17" t="s">
        <v>138</v>
      </c>
      <c r="D10" s="17" t="s">
        <v>139</v>
      </c>
    </row>
    <row r="11" customFormat="false" ht="15" hidden="false" customHeight="false" outlineLevel="0" collapsed="false">
      <c r="A11" s="16" t="s">
        <v>136</v>
      </c>
      <c r="B11" s="21" t="s">
        <v>140</v>
      </c>
      <c r="C11" s="17" t="s">
        <v>138</v>
      </c>
      <c r="D11" s="17" t="s">
        <v>141</v>
      </c>
    </row>
    <row r="12" customFormat="false" ht="15" hidden="false" customHeight="false" outlineLevel="0" collapsed="false">
      <c r="A12" s="16" t="s">
        <v>136</v>
      </c>
      <c r="B12" s="21" t="s">
        <v>142</v>
      </c>
      <c r="C12" s="17" t="s">
        <v>138</v>
      </c>
      <c r="D12" s="17" t="s">
        <v>143</v>
      </c>
    </row>
    <row r="13" customFormat="false" ht="15" hidden="false" customHeight="false" outlineLevel="0" collapsed="false">
      <c r="A13" s="16" t="s">
        <v>136</v>
      </c>
      <c r="B13" s="21" t="s">
        <v>144</v>
      </c>
      <c r="C13" s="17" t="s">
        <v>145</v>
      </c>
      <c r="D13" s="17" t="s">
        <v>146</v>
      </c>
    </row>
    <row r="14" customFormat="false" ht="15" hidden="false" customHeight="false" outlineLevel="0" collapsed="false">
      <c r="A14" s="16" t="s">
        <v>136</v>
      </c>
      <c r="B14" s="21" t="s">
        <v>147</v>
      </c>
      <c r="C14" s="17" t="s">
        <v>148</v>
      </c>
      <c r="D14" s="17" t="s">
        <v>149</v>
      </c>
    </row>
    <row r="15" customFormat="false" ht="15" hidden="false" customHeight="false" outlineLevel="0" collapsed="false">
      <c r="A15" s="16" t="s">
        <v>150</v>
      </c>
      <c r="B15" s="21" t="s">
        <v>151</v>
      </c>
      <c r="C15" s="17" t="s">
        <v>138</v>
      </c>
      <c r="D15" s="17" t="s">
        <v>152</v>
      </c>
    </row>
    <row r="16" customFormat="false" ht="15" hidden="false" customHeight="false" outlineLevel="0" collapsed="false">
      <c r="A16" s="16" t="s">
        <v>150</v>
      </c>
      <c r="B16" s="21" t="s">
        <v>153</v>
      </c>
      <c r="C16" s="17" t="s">
        <v>154</v>
      </c>
      <c r="D16" s="17" t="s">
        <v>155</v>
      </c>
    </row>
    <row r="17" customFormat="false" ht="15" hidden="false" customHeight="false" outlineLevel="0" collapsed="false">
      <c r="A17" s="16" t="s">
        <v>150</v>
      </c>
      <c r="B17" s="21" t="s">
        <v>156</v>
      </c>
      <c r="C17" s="17" t="s">
        <v>157</v>
      </c>
      <c r="D17" s="17" t="s">
        <v>158</v>
      </c>
    </row>
    <row r="18" customFormat="false" ht="15" hidden="false" customHeight="false" outlineLevel="0" collapsed="false">
      <c r="A18" s="16" t="s">
        <v>150</v>
      </c>
      <c r="B18" s="21" t="s">
        <v>159</v>
      </c>
      <c r="C18" s="17" t="s">
        <v>145</v>
      </c>
      <c r="D18" s="17" t="s">
        <v>160</v>
      </c>
    </row>
    <row r="19" customFormat="false" ht="15" hidden="false" customHeight="false" outlineLevel="0" collapsed="false">
      <c r="A19" s="16" t="s">
        <v>150</v>
      </c>
      <c r="B19" s="21" t="s">
        <v>161</v>
      </c>
      <c r="C19" s="17" t="s">
        <v>145</v>
      </c>
      <c r="D19" s="17" t="s">
        <v>162</v>
      </c>
    </row>
    <row r="20" customFormat="false" ht="15" hidden="false" customHeight="false" outlineLevel="0" collapsed="false">
      <c r="A20" s="16" t="s">
        <v>150</v>
      </c>
      <c r="B20" s="21" t="s">
        <v>163</v>
      </c>
      <c r="C20" s="17" t="s">
        <v>164</v>
      </c>
      <c r="D20" s="17" t="s">
        <v>165</v>
      </c>
    </row>
    <row r="21" customFormat="false" ht="15" hidden="false" customHeight="false" outlineLevel="0" collapsed="false">
      <c r="A21" s="16" t="s">
        <v>166</v>
      </c>
      <c r="B21" s="21" t="s">
        <v>167</v>
      </c>
      <c r="C21" s="17" t="s">
        <v>168</v>
      </c>
      <c r="D21" s="17" t="s">
        <v>169</v>
      </c>
    </row>
    <row r="22" customFormat="false" ht="15" hidden="false" customHeight="false" outlineLevel="0" collapsed="false">
      <c r="A22" s="16" t="s">
        <v>166</v>
      </c>
      <c r="B22" s="21" t="s">
        <v>170</v>
      </c>
      <c r="C22" s="17" t="s">
        <v>171</v>
      </c>
      <c r="D22" s="17" t="s">
        <v>172</v>
      </c>
    </row>
    <row r="23" customFormat="false" ht="15" hidden="false" customHeight="false" outlineLevel="0" collapsed="false">
      <c r="A23" s="16" t="s">
        <v>166</v>
      </c>
      <c r="B23" s="21" t="s">
        <v>173</v>
      </c>
      <c r="C23" s="17" t="s">
        <v>138</v>
      </c>
      <c r="D23" s="17" t="s">
        <v>174</v>
      </c>
    </row>
    <row r="24" customFormat="false" ht="15" hidden="false" customHeight="false" outlineLevel="0" collapsed="false">
      <c r="A24" s="16" t="s">
        <v>166</v>
      </c>
      <c r="B24" s="21" t="s">
        <v>175</v>
      </c>
      <c r="C24" s="17" t="s">
        <v>176</v>
      </c>
      <c r="D24" s="17" t="s">
        <v>177</v>
      </c>
    </row>
    <row r="25" customFormat="false" ht="15" hidden="false" customHeight="false" outlineLevel="0" collapsed="false">
      <c r="A25" s="16" t="s">
        <v>166</v>
      </c>
      <c r="B25" s="21" t="s">
        <v>178</v>
      </c>
      <c r="C25" s="17" t="s">
        <v>179</v>
      </c>
      <c r="D25" s="17" t="s">
        <v>180</v>
      </c>
    </row>
    <row r="26" customFormat="false" ht="23.85" hidden="false" customHeight="false" outlineLevel="0" collapsed="false">
      <c r="A26" s="16" t="s">
        <v>181</v>
      </c>
      <c r="B26" s="21" t="s">
        <v>182</v>
      </c>
      <c r="C26" s="17" t="s">
        <v>138</v>
      </c>
      <c r="D26" s="17" t="s">
        <v>183</v>
      </c>
    </row>
    <row r="27" customFormat="false" ht="15" hidden="false" customHeight="false" outlineLevel="0" collapsed="false">
      <c r="A27" s="16" t="s">
        <v>181</v>
      </c>
      <c r="B27" s="21" t="s">
        <v>184</v>
      </c>
      <c r="C27" s="17" t="s">
        <v>138</v>
      </c>
      <c r="D27" s="17" t="s">
        <v>185</v>
      </c>
    </row>
    <row r="28" customFormat="false" ht="15" hidden="false" customHeight="false" outlineLevel="0" collapsed="false">
      <c r="A28" s="16" t="s">
        <v>181</v>
      </c>
      <c r="B28" s="21" t="s">
        <v>186</v>
      </c>
      <c r="C28" s="17" t="s">
        <v>187</v>
      </c>
      <c r="D28" s="17" t="s">
        <v>188</v>
      </c>
    </row>
    <row r="29" customFormat="false" ht="15" hidden="false" customHeight="false" outlineLevel="0" collapsed="false">
      <c r="A29" s="16" t="s">
        <v>181</v>
      </c>
      <c r="B29" s="21" t="s">
        <v>189</v>
      </c>
      <c r="C29" s="17" t="s">
        <v>190</v>
      </c>
      <c r="D29" s="17" t="s">
        <v>191</v>
      </c>
    </row>
    <row r="30" customFormat="false" ht="15" hidden="false" customHeight="false" outlineLevel="0" collapsed="false">
      <c r="A30" s="16" t="s">
        <v>181</v>
      </c>
      <c r="B30" s="21" t="s">
        <v>192</v>
      </c>
      <c r="C30" s="17" t="s">
        <v>190</v>
      </c>
      <c r="D30" s="17" t="s">
        <v>193</v>
      </c>
    </row>
    <row r="31" customFormat="false" ht="15" hidden="false" customHeight="false" outlineLevel="0" collapsed="false">
      <c r="A31" s="16" t="s">
        <v>181</v>
      </c>
      <c r="B31" s="21" t="s">
        <v>194</v>
      </c>
      <c r="C31" s="17" t="s">
        <v>195</v>
      </c>
      <c r="D31" s="17" t="s">
        <v>196</v>
      </c>
    </row>
    <row r="32" customFormat="false" ht="15" hidden="false" customHeight="false" outlineLevel="0" collapsed="false">
      <c r="A32" s="16" t="s">
        <v>197</v>
      </c>
      <c r="B32" s="21" t="s">
        <v>198</v>
      </c>
      <c r="C32" s="13" t="s">
        <v>199</v>
      </c>
      <c r="D32" s="13" t="s">
        <v>200</v>
      </c>
    </row>
    <row r="33" customFormat="false" ht="15" hidden="false" customHeight="false" outlineLevel="0" collapsed="false">
      <c r="A33" s="16" t="s">
        <v>197</v>
      </c>
      <c r="B33" s="21" t="s">
        <v>201</v>
      </c>
      <c r="C33" s="13" t="s">
        <v>202</v>
      </c>
      <c r="D33" s="13" t="s">
        <v>203</v>
      </c>
    </row>
    <row r="34" customFormat="false" ht="15" hidden="false" customHeight="false" outlineLevel="0" collapsed="false">
      <c r="A34" s="16" t="s">
        <v>197</v>
      </c>
      <c r="B34" s="21" t="s">
        <v>204</v>
      </c>
      <c r="C34" s="13" t="s">
        <v>205</v>
      </c>
      <c r="D34" s="13" t="s">
        <v>206</v>
      </c>
    </row>
    <row r="35" customFormat="false" ht="15" hidden="false" customHeight="false" outlineLevel="0" collapsed="false">
      <c r="A35" s="16" t="s">
        <v>197</v>
      </c>
      <c r="B35" s="21" t="s">
        <v>207</v>
      </c>
      <c r="C35" s="13" t="s">
        <v>208</v>
      </c>
      <c r="D35" s="13" t="s">
        <v>209</v>
      </c>
    </row>
    <row r="36" customFormat="false" ht="15" hidden="false" customHeight="false" outlineLevel="0" collapsed="false">
      <c r="A36" s="16" t="s">
        <v>197</v>
      </c>
      <c r="B36" s="21" t="s">
        <v>210</v>
      </c>
      <c r="C36" s="13" t="s">
        <v>211</v>
      </c>
      <c r="D36" s="13" t="s">
        <v>212</v>
      </c>
    </row>
    <row r="37" customFormat="false" ht="15" hidden="false" customHeight="false" outlineLevel="0" collapsed="false">
      <c r="A37" s="16" t="s">
        <v>197</v>
      </c>
      <c r="B37" s="21" t="s">
        <v>213</v>
      </c>
      <c r="C37" s="13" t="s">
        <v>214</v>
      </c>
      <c r="D37" s="13" t="s">
        <v>215</v>
      </c>
    </row>
    <row r="38" customFormat="false" ht="15" hidden="false" customHeight="false" outlineLevel="0" collapsed="false">
      <c r="A38" s="16" t="s">
        <v>216</v>
      </c>
      <c r="B38" s="21" t="s">
        <v>217</v>
      </c>
      <c r="C38" s="13" t="s">
        <v>218</v>
      </c>
      <c r="D38" s="13" t="s">
        <v>219</v>
      </c>
    </row>
    <row r="39" customFormat="false" ht="15" hidden="false" customHeight="false" outlineLevel="0" collapsed="false">
      <c r="A39" s="16" t="s">
        <v>216</v>
      </c>
      <c r="B39" s="21" t="s">
        <v>220</v>
      </c>
      <c r="C39" s="13" t="s">
        <v>221</v>
      </c>
      <c r="D39" s="13" t="s">
        <v>222</v>
      </c>
    </row>
    <row r="40" customFormat="false" ht="15" hidden="false" customHeight="false" outlineLevel="0" collapsed="false">
      <c r="A40" s="16" t="s">
        <v>216</v>
      </c>
      <c r="B40" s="21" t="s">
        <v>223</v>
      </c>
      <c r="C40" s="13" t="s">
        <v>224</v>
      </c>
      <c r="D40" s="13" t="s">
        <v>225</v>
      </c>
    </row>
    <row r="41" customFormat="false" ht="15" hidden="false" customHeight="false" outlineLevel="0" collapsed="false">
      <c r="A41" s="16" t="s">
        <v>216</v>
      </c>
      <c r="B41" s="21" t="s">
        <v>226</v>
      </c>
      <c r="C41" s="13" t="s">
        <v>227</v>
      </c>
      <c r="D41" s="13" t="s">
        <v>228</v>
      </c>
    </row>
    <row r="42" customFormat="false" ht="15" hidden="false" customHeight="false" outlineLevel="0" collapsed="false">
      <c r="A42" s="16" t="s">
        <v>216</v>
      </c>
      <c r="B42" s="21" t="s">
        <v>229</v>
      </c>
      <c r="C42" s="13" t="s">
        <v>230</v>
      </c>
      <c r="D42" s="13" t="s">
        <v>231</v>
      </c>
    </row>
    <row r="43" customFormat="false" ht="15" hidden="false" customHeight="false" outlineLevel="0" collapsed="false">
      <c r="A43" s="16" t="s">
        <v>232</v>
      </c>
      <c r="B43" s="21" t="s">
        <v>233</v>
      </c>
      <c r="C43" s="13" t="s">
        <v>138</v>
      </c>
      <c r="D43" s="13" t="s">
        <v>234</v>
      </c>
    </row>
    <row r="44" customFormat="false" ht="15" hidden="false" customHeight="false" outlineLevel="0" collapsed="false">
      <c r="A44" s="16" t="s">
        <v>232</v>
      </c>
      <c r="B44" s="21" t="s">
        <v>235</v>
      </c>
      <c r="C44" s="13" t="s">
        <v>138</v>
      </c>
      <c r="D44" s="13" t="s">
        <v>236</v>
      </c>
    </row>
    <row r="45" customFormat="false" ht="15" hidden="false" customHeight="false" outlineLevel="0" collapsed="false">
      <c r="A45" s="16" t="s">
        <v>232</v>
      </c>
      <c r="B45" s="21" t="s">
        <v>237</v>
      </c>
      <c r="C45" s="13" t="s">
        <v>138</v>
      </c>
      <c r="D45" s="13" t="s">
        <v>238</v>
      </c>
    </row>
    <row r="46" customFormat="false" ht="15" hidden="false" customHeight="false" outlineLevel="0" collapsed="false">
      <c r="A46" s="16" t="s">
        <v>232</v>
      </c>
      <c r="B46" s="21" t="s">
        <v>239</v>
      </c>
      <c r="C46" s="13" t="s">
        <v>145</v>
      </c>
      <c r="D46" s="13" t="s">
        <v>240</v>
      </c>
    </row>
    <row r="47" customFormat="false" ht="15" hidden="false" customHeight="false" outlineLevel="0" collapsed="false">
      <c r="A47" s="16" t="s">
        <v>232</v>
      </c>
      <c r="B47" s="21" t="s">
        <v>241</v>
      </c>
      <c r="C47" s="13" t="s">
        <v>145</v>
      </c>
      <c r="D47" s="13" t="s">
        <v>242</v>
      </c>
    </row>
    <row r="48" customFormat="false" ht="15" hidden="false" customHeight="false" outlineLevel="0" collapsed="false">
      <c r="A48" s="16" t="s">
        <v>243</v>
      </c>
      <c r="B48" s="21" t="s">
        <v>244</v>
      </c>
      <c r="C48" s="17" t="s">
        <v>245</v>
      </c>
      <c r="D48" s="17" t="s">
        <v>246</v>
      </c>
    </row>
    <row r="49" customFormat="false" ht="15" hidden="false" customHeight="false" outlineLevel="0" collapsed="false">
      <c r="A49" s="16" t="s">
        <v>243</v>
      </c>
      <c r="B49" s="21" t="s">
        <v>247</v>
      </c>
      <c r="C49" s="17" t="s">
        <v>190</v>
      </c>
      <c r="D49" s="17" t="s">
        <v>248</v>
      </c>
    </row>
    <row r="50" customFormat="false" ht="15" hidden="false" customHeight="false" outlineLevel="0" collapsed="false">
      <c r="A50" s="16" t="s">
        <v>243</v>
      </c>
      <c r="B50" s="21" t="s">
        <v>249</v>
      </c>
      <c r="C50" s="17" t="s">
        <v>190</v>
      </c>
      <c r="D50" s="17" t="s">
        <v>250</v>
      </c>
    </row>
    <row r="51" customFormat="false" ht="15" hidden="false" customHeight="false" outlineLevel="0" collapsed="false">
      <c r="A51" s="16" t="s">
        <v>243</v>
      </c>
      <c r="B51" s="21" t="s">
        <v>133</v>
      </c>
      <c r="C51" s="17" t="s">
        <v>190</v>
      </c>
      <c r="D51" s="17" t="s">
        <v>251</v>
      </c>
    </row>
    <row r="52" customFormat="false" ht="15" hidden="false" customHeight="false" outlineLevel="0" collapsed="false">
      <c r="A52" s="16" t="s">
        <v>243</v>
      </c>
      <c r="B52" s="21" t="s">
        <v>252</v>
      </c>
      <c r="C52" s="17" t="s">
        <v>253</v>
      </c>
      <c r="D52" s="17" t="s">
        <v>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6"/>
  </cols>
  <sheetData>
    <row r="1" customFormat="false" ht="19.7" hidden="false" customHeight="false" outlineLevel="0" collapsed="false">
      <c r="A1" s="1" t="s">
        <v>255</v>
      </c>
    </row>
    <row r="3" customFormat="false" ht="15" hidden="false" customHeight="false" outlineLevel="0" collapsed="false">
      <c r="A3" s="22" t="s">
        <v>256</v>
      </c>
    </row>
    <row r="4" customFormat="false" ht="15" hidden="false" customHeight="false" outlineLevel="0" collapsed="false">
      <c r="A4" s="23" t="s">
        <v>257</v>
      </c>
      <c r="B4" s="23" t="s">
        <v>258</v>
      </c>
    </row>
    <row r="5" customFormat="false" ht="15" hidden="false" customHeight="false" outlineLevel="0" collapsed="false">
      <c r="A5" s="17" t="s">
        <v>259</v>
      </c>
      <c r="B5" s="17" t="s">
        <v>260</v>
      </c>
    </row>
    <row r="6" customFormat="false" ht="15" hidden="false" customHeight="false" outlineLevel="0" collapsed="false">
      <c r="A6" s="13" t="s">
        <v>261</v>
      </c>
      <c r="B6" s="13" t="s">
        <v>262</v>
      </c>
    </row>
    <row r="7" customFormat="false" ht="15" hidden="false" customHeight="false" outlineLevel="0" collapsed="false">
      <c r="A7" s="17" t="s">
        <v>263</v>
      </c>
      <c r="B7" s="17" t="s">
        <v>264</v>
      </c>
    </row>
    <row r="8" customFormat="false" ht="15" hidden="false" customHeight="false" outlineLevel="0" collapsed="false">
      <c r="A8" s="13" t="s">
        <v>265</v>
      </c>
      <c r="B8" s="13" t="s">
        <v>266</v>
      </c>
    </row>
    <row r="10" customFormat="false" ht="15" hidden="false" customHeight="false" outlineLevel="0" collapsed="false">
      <c r="A10" s="22" t="s">
        <v>267</v>
      </c>
    </row>
    <row r="11" customFormat="false" ht="15" hidden="false" customHeight="false" outlineLevel="0" collapsed="false">
      <c r="A11" s="24" t="s">
        <v>268</v>
      </c>
      <c r="B11" s="24" t="s">
        <v>269</v>
      </c>
    </row>
    <row r="12" customFormat="false" ht="15" hidden="false" customHeight="false" outlineLevel="0" collapsed="false">
      <c r="A12" s="25" t="s">
        <v>270</v>
      </c>
      <c r="B12" s="25"/>
    </row>
    <row r="13" customFormat="false" ht="15" hidden="false" customHeight="false" outlineLevel="0" collapsed="false">
      <c r="A13" s="26" t="s">
        <v>271</v>
      </c>
      <c r="B13" s="26"/>
    </row>
    <row r="14" customFormat="false" ht="15" hidden="false" customHeight="false" outlineLevel="0" collapsed="false">
      <c r="A14" s="25" t="s">
        <v>272</v>
      </c>
      <c r="B14" s="25"/>
    </row>
    <row r="15" customFormat="false" ht="15" hidden="false" customHeight="false" outlineLevel="0" collapsed="false">
      <c r="A15" s="26" t="s">
        <v>273</v>
      </c>
      <c r="B15" s="26"/>
    </row>
    <row r="16" customFormat="false" ht="15" hidden="false" customHeight="false" outlineLevel="0" collapsed="false">
      <c r="A16" s="25" t="s">
        <v>274</v>
      </c>
      <c r="B16" s="25"/>
    </row>
    <row r="17" customFormat="false" ht="15" hidden="false" customHeight="false" outlineLevel="0" collapsed="false">
      <c r="A17" s="26" t="s">
        <v>275</v>
      </c>
      <c r="B17" s="26"/>
    </row>
    <row r="18" customFormat="false" ht="15" hidden="false" customHeight="false" outlineLevel="0" collapsed="false">
      <c r="A18" s="25" t="s">
        <v>276</v>
      </c>
      <c r="B18" s="25"/>
    </row>
    <row r="19" customFormat="false" ht="15" hidden="false" customHeight="false" outlineLevel="0" collapsed="false">
      <c r="A19" s="26" t="s">
        <v>277</v>
      </c>
      <c r="B19" s="26"/>
    </row>
    <row r="20" customFormat="false" ht="15" hidden="false" customHeight="false" outlineLevel="0" collapsed="false">
      <c r="A20" s="25" t="s">
        <v>278</v>
      </c>
      <c r="B20" s="25"/>
    </row>
    <row r="22" customFormat="false" ht="15" hidden="false" customHeight="false" outlineLevel="0" collapsed="false">
      <c r="A22" s="22" t="s">
        <v>279</v>
      </c>
    </row>
    <row r="23" customFormat="false" ht="15" hidden="false" customHeight="false" outlineLevel="0" collapsed="false">
      <c r="A23" s="27" t="s">
        <v>280</v>
      </c>
      <c r="B23" s="27"/>
    </row>
    <row r="24" customFormat="false" ht="15" hidden="false" customHeight="false" outlineLevel="0" collapsed="false">
      <c r="A24" s="27" t="s">
        <v>281</v>
      </c>
      <c r="B24" s="27"/>
    </row>
    <row r="25" customFormat="false" ht="15" hidden="false" customHeight="false" outlineLevel="0" collapsed="false">
      <c r="A25" s="27" t="s">
        <v>282</v>
      </c>
      <c r="B25" s="27"/>
    </row>
    <row r="26" customFormat="false" ht="15" hidden="false" customHeight="false" outlineLevel="0" collapsed="false">
      <c r="A26" s="27" t="s">
        <v>283</v>
      </c>
      <c r="B26" s="27"/>
    </row>
    <row r="27" customFormat="false" ht="15" hidden="false" customHeight="false" outlineLevel="0" collapsed="false">
      <c r="A27" s="27" t="s">
        <v>284</v>
      </c>
      <c r="B27" s="27"/>
    </row>
    <row r="28" customFormat="false" ht="15" hidden="false" customHeight="false" outlineLevel="0" collapsed="false">
      <c r="A28" s="27" t="s">
        <v>285</v>
      </c>
      <c r="B28" s="27"/>
    </row>
    <row r="29" customFormat="false" ht="15" hidden="false" customHeight="false" outlineLevel="0" collapsed="false">
      <c r="A29" s="27" t="s">
        <v>286</v>
      </c>
      <c r="B29" s="27"/>
    </row>
    <row r="31" customFormat="false" ht="15" hidden="false" customHeight="false" outlineLevel="0" collapsed="false">
      <c r="A31" s="22" t="s">
        <v>287</v>
      </c>
    </row>
    <row r="32" customFormat="false" ht="15" hidden="false" customHeight="false" outlineLevel="0" collapsed="false">
      <c r="A32" s="23" t="s">
        <v>288</v>
      </c>
      <c r="B32" s="23" t="s">
        <v>289</v>
      </c>
    </row>
    <row r="33" customFormat="false" ht="15" hidden="false" customHeight="false" outlineLevel="0" collapsed="false">
      <c r="A33" s="17" t="s">
        <v>290</v>
      </c>
      <c r="B33" s="17" t="s">
        <v>291</v>
      </c>
    </row>
    <row r="34" customFormat="false" ht="15" hidden="false" customHeight="false" outlineLevel="0" collapsed="false">
      <c r="A34" s="13" t="s">
        <v>292</v>
      </c>
      <c r="B34" s="13" t="s">
        <v>293</v>
      </c>
    </row>
    <row r="35" customFormat="false" ht="15" hidden="false" customHeight="false" outlineLevel="0" collapsed="false">
      <c r="A35" s="17" t="s">
        <v>294</v>
      </c>
      <c r="B35" s="17" t="s">
        <v>295</v>
      </c>
    </row>
    <row r="36" customFormat="false" ht="15" hidden="false" customHeight="false" outlineLevel="0" collapsed="false">
      <c r="A36" s="13" t="s">
        <v>296</v>
      </c>
      <c r="B36" s="13" t="s">
        <v>297</v>
      </c>
    </row>
    <row r="38" customFormat="false" ht="15" hidden="false" customHeight="false" outlineLevel="0" collapsed="false">
      <c r="A38" s="22" t="s">
        <v>298</v>
      </c>
    </row>
    <row r="39" customFormat="false" ht="23.85" hidden="false" customHeight="true" outlineLevel="0" collapsed="false">
      <c r="A39" s="28" t="s">
        <v>299</v>
      </c>
      <c r="B39" s="28"/>
    </row>
    <row r="41" customFormat="false" ht="15" hidden="false" customHeight="false" outlineLevel="0" collapsed="false">
      <c r="A41" s="22" t="s">
        <v>300</v>
      </c>
    </row>
    <row r="42" customFormat="false" ht="15" hidden="false" customHeight="false" outlineLevel="0" collapsed="false">
      <c r="A42" s="23" t="s">
        <v>301</v>
      </c>
      <c r="B42" s="23" t="s">
        <v>302</v>
      </c>
    </row>
    <row r="43" customFormat="false" ht="15" hidden="false" customHeight="false" outlineLevel="0" collapsed="false">
      <c r="A43" s="17" t="s">
        <v>303</v>
      </c>
      <c r="B43" s="17" t="s">
        <v>304</v>
      </c>
    </row>
    <row r="44" customFormat="false" ht="15" hidden="false" customHeight="false" outlineLevel="0" collapsed="false">
      <c r="A44" s="13" t="s">
        <v>305</v>
      </c>
      <c r="B44" s="13" t="s">
        <v>306</v>
      </c>
    </row>
    <row r="45" customFormat="false" ht="15" hidden="false" customHeight="false" outlineLevel="0" collapsed="false">
      <c r="A45" s="17" t="s">
        <v>307</v>
      </c>
      <c r="B45" s="17" t="s">
        <v>308</v>
      </c>
    </row>
    <row r="46" customFormat="false" ht="15" hidden="false" customHeight="false" outlineLevel="0" collapsed="false">
      <c r="A46" s="13" t="s">
        <v>309</v>
      </c>
      <c r="B46" s="13" t="s">
        <v>310</v>
      </c>
    </row>
    <row r="47" customFormat="false" ht="15" hidden="false" customHeight="false" outlineLevel="0" collapsed="false">
      <c r="A47" s="17" t="s">
        <v>311</v>
      </c>
      <c r="B47" s="17" t="s">
        <v>312</v>
      </c>
    </row>
    <row r="48" customFormat="false" ht="15" hidden="false" customHeight="false" outlineLevel="0" collapsed="false">
      <c r="A48" s="13" t="s">
        <v>313</v>
      </c>
      <c r="B48" s="13" t="s">
        <v>314</v>
      </c>
    </row>
    <row r="49" customFormat="false" ht="15" hidden="false" customHeight="false" outlineLevel="0" collapsed="false">
      <c r="A49" s="17" t="s">
        <v>315</v>
      </c>
      <c r="B49" s="17" t="s">
        <v>316</v>
      </c>
    </row>
    <row r="50" customFormat="false" ht="15" hidden="false" customHeight="false" outlineLevel="0" collapsed="false">
      <c r="A50" s="13" t="s">
        <v>317</v>
      </c>
      <c r="B50" s="13" t="s">
        <v>318</v>
      </c>
    </row>
    <row r="52" customFormat="false" ht="15" hidden="false" customHeight="true" outlineLevel="0" collapsed="false">
      <c r="A52" s="29" t="s">
        <v>319</v>
      </c>
      <c r="B52" s="29"/>
    </row>
  </sheetData>
  <mergeCells count="9">
    <mergeCell ref="A23:B23"/>
    <mergeCell ref="A24:B24"/>
    <mergeCell ref="A25:B25"/>
    <mergeCell ref="A26:B26"/>
    <mergeCell ref="A27:B27"/>
    <mergeCell ref="A28:B28"/>
    <mergeCell ref="A29:B29"/>
    <mergeCell ref="A39:B39"/>
    <mergeCell ref="A52:B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2026-06-22T20:47:08Z</dcterms:created>
  <dc:creator>openpyxl</dc:creator>
  <dc:description/>
  <dc:language>en-US</dc:language>
  <cp:lastModifiedBy/>
  <dcterms:modified xsi:type="dcterms:W3CDTF">2026-06-22T20:47:08Z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